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filterPrivacy="1" codeName="ThisWorkbook"/>
  <xr:revisionPtr revIDLastSave="0" documentId="13_ncr:1_{1F9E55CF-4FDD-4C2C-973A-AD34D11CC6BC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Bruun則(1)" sheetId="3" r:id="rId1"/>
    <sheet name="Bruun則(2)" sheetId="6" r:id="rId2"/>
    <sheet name="Bruun則(3)" sheetId="7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3" i="7" l="1"/>
  <c r="D32" i="7"/>
  <c r="E32" i="7" s="1"/>
  <c r="D31" i="7"/>
  <c r="E31" i="7" s="1"/>
  <c r="D30" i="7"/>
  <c r="E30" i="7" s="1"/>
  <c r="E29" i="7"/>
  <c r="D29" i="7"/>
  <c r="D28" i="7"/>
  <c r="E28" i="7" s="1"/>
  <c r="D27" i="7"/>
  <c r="E27" i="7" s="1"/>
  <c r="D26" i="7"/>
  <c r="E26" i="7" s="1"/>
  <c r="D33" i="6"/>
  <c r="E32" i="6"/>
  <c r="D32" i="6"/>
  <c r="D31" i="6"/>
  <c r="E31" i="6" s="1"/>
  <c r="D30" i="6"/>
  <c r="E30" i="6" s="1"/>
  <c r="D29" i="6"/>
  <c r="E29" i="6" s="1"/>
  <c r="E28" i="6"/>
  <c r="D28" i="6"/>
  <c r="D27" i="6"/>
  <c r="E27" i="6" s="1"/>
  <c r="D26" i="6"/>
  <c r="E26" i="6" s="1"/>
  <c r="E18" i="7"/>
  <c r="E18" i="6"/>
  <c r="D18" i="6"/>
  <c r="D18" i="7"/>
  <c r="D13" i="7" a="1"/>
  <c r="D15" i="7" a="1"/>
  <c r="D15" i="6" a="1"/>
  <c r="D13" i="6" a="1"/>
  <c r="D34" i="7" a="1"/>
  <c r="D34" i="6" a="1"/>
  <c r="D15" i="3" a="1"/>
  <c r="D13" i="3" a="1"/>
  <c r="D34" i="7" l="1"/>
  <c r="D34" i="6"/>
  <c r="D13" i="3"/>
  <c r="D15" i="7"/>
  <c r="D13" i="7"/>
  <c r="D13" i="6"/>
  <c r="D15" i="6"/>
  <c r="D15" i="3"/>
  <c r="D17" i="7"/>
  <c r="D17" i="6"/>
  <c r="D14" i="7" a="1"/>
  <c r="D14" i="6" a="1"/>
  <c r="D34" i="3" a="1"/>
  <c r="D14" i="3" a="1"/>
  <c r="D34" i="3" l="1"/>
  <c r="D14" i="3"/>
  <c r="D14" i="7"/>
  <c r="D14" i="6"/>
  <c r="D16" i="7"/>
  <c r="D19" i="6"/>
  <c r="D17" i="3"/>
  <c r="D18" i="3" s="1"/>
  <c r="E18" i="3" s="1"/>
  <c r="D16" i="6" l="1"/>
  <c r="D19" i="7"/>
  <c r="D20" i="6"/>
  <c r="D29" i="3"/>
  <c r="E29" i="3" s="1"/>
  <c r="D30" i="3"/>
  <c r="E30" i="3" s="1"/>
  <c r="D32" i="3"/>
  <c r="E32" i="3" s="1"/>
  <c r="D31" i="3"/>
  <c r="E31" i="3" s="1"/>
  <c r="D33" i="3"/>
  <c r="D16" i="3" l="1"/>
  <c r="D20" i="7"/>
  <c r="D21" i="6"/>
  <c r="D27" i="3"/>
  <c r="E27" i="3" s="1"/>
  <c r="D21" i="7" l="1"/>
  <c r="D19" i="3" l="1"/>
  <c r="D20" i="3" s="1"/>
  <c r="D21" i="3" l="1"/>
  <c r="D26" i="3"/>
  <c r="E26" i="3" s="1"/>
  <c r="D28" i="3"/>
  <c r="E28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<sst xmlns="http://schemas.openxmlformats.org/spreadsheetml/2006/main" count="405" uniqueCount="124">
  <si>
    <t>底質粒径</t>
    <rPh sb="0" eb="2">
      <t>テイシツ</t>
    </rPh>
    <rPh sb="2" eb="4">
      <t>リュウケイ</t>
    </rPh>
    <phoneticPr fontId="5"/>
  </si>
  <si>
    <t>mm</t>
    <phoneticPr fontId="4"/>
  </si>
  <si>
    <t>s</t>
    <phoneticPr fontId="4"/>
  </si>
  <si>
    <t>m</t>
    <phoneticPr fontId="4"/>
  </si>
  <si>
    <t>単位</t>
    <rPh sb="0" eb="2">
      <t>タンイ</t>
    </rPh>
    <phoneticPr fontId="4"/>
  </si>
  <si>
    <t>記号</t>
    <rPh sb="0" eb="2">
      <t>キゴウ</t>
    </rPh>
    <phoneticPr fontId="4"/>
  </si>
  <si>
    <t>入力値</t>
    <rPh sb="0" eb="2">
      <t>ニュウリョク</t>
    </rPh>
    <rPh sb="2" eb="3">
      <t>チ</t>
    </rPh>
    <phoneticPr fontId="4"/>
  </si>
  <si>
    <r>
      <t>d</t>
    </r>
    <r>
      <rPr>
        <vertAlign val="subscript"/>
        <sz val="11"/>
        <color theme="1"/>
        <rFont val="Yu Gothic"/>
        <family val="3"/>
        <charset val="128"/>
        <scheme val="minor"/>
      </rPr>
      <t>50</t>
    </r>
    <phoneticPr fontId="5"/>
  </si>
  <si>
    <t>入力セル</t>
    <rPh sb="0" eb="2">
      <t>ニュウリョク</t>
    </rPh>
    <phoneticPr fontId="4"/>
  </si>
  <si>
    <t>計算セル</t>
    <rPh sb="0" eb="2">
      <t>ケイサン</t>
    </rPh>
    <phoneticPr fontId="4"/>
  </si>
  <si>
    <t>出力セル</t>
    <rPh sb="0" eb="2">
      <t>シュツリョク</t>
    </rPh>
    <phoneticPr fontId="4"/>
  </si>
  <si>
    <t>：エクセルの機能での計算</t>
    <rPh sb="6" eb="8">
      <t>キノウ</t>
    </rPh>
    <rPh sb="10" eb="12">
      <t>ケイサン</t>
    </rPh>
    <phoneticPr fontId="4"/>
  </si>
  <si>
    <t>：VBAマクロの関数による計算</t>
    <rPh sb="8" eb="10">
      <t>カンスウ</t>
    </rPh>
    <rPh sb="13" eb="15">
      <t>ケイサン</t>
    </rPh>
    <phoneticPr fontId="4"/>
  </si>
  <si>
    <t>備考</t>
    <rPh sb="0" eb="2">
      <t>ビコウ</t>
    </rPh>
    <phoneticPr fontId="4"/>
  </si>
  <si>
    <t>前浜勾配</t>
    <rPh sb="0" eb="2">
      <t>マエハマ</t>
    </rPh>
    <rPh sb="2" eb="4">
      <t>コウバイ</t>
    </rPh>
    <phoneticPr fontId="4"/>
  </si>
  <si>
    <t>最大有義波高</t>
    <rPh sb="0" eb="2">
      <t>サイダイ</t>
    </rPh>
    <rPh sb="2" eb="4">
      <t>ユウギ</t>
    </rPh>
    <rPh sb="4" eb="6">
      <t>ハコウ</t>
    </rPh>
    <phoneticPr fontId="5"/>
  </si>
  <si>
    <t>最大有義波周期</t>
    <rPh sb="0" eb="2">
      <t>サイダイ</t>
    </rPh>
    <rPh sb="2" eb="4">
      <t>ユウギ</t>
    </rPh>
    <rPh sb="4" eb="5">
      <t>ハ</t>
    </rPh>
    <rPh sb="5" eb="7">
      <t>シュウキ</t>
    </rPh>
    <phoneticPr fontId="5"/>
  </si>
  <si>
    <t>平均有義波高</t>
    <rPh sb="0" eb="2">
      <t>ヘイキン</t>
    </rPh>
    <rPh sb="2" eb="5">
      <t>ユウギハ</t>
    </rPh>
    <rPh sb="5" eb="6">
      <t>コウ</t>
    </rPh>
    <phoneticPr fontId="4"/>
  </si>
  <si>
    <t>平均有義波周期</t>
    <rPh sb="0" eb="2">
      <t>ヘイキン</t>
    </rPh>
    <rPh sb="2" eb="5">
      <t>ユウギハ</t>
    </rPh>
    <rPh sb="5" eb="7">
      <t>シュウキ</t>
    </rPh>
    <phoneticPr fontId="4"/>
  </si>
  <si>
    <r>
      <t>H</t>
    </r>
    <r>
      <rPr>
        <vertAlign val="subscript"/>
        <sz val="11"/>
        <color theme="1"/>
        <rFont val="Yu Gothic"/>
        <family val="3"/>
        <charset val="128"/>
        <scheme val="minor"/>
      </rPr>
      <t>m</t>
    </r>
    <phoneticPr fontId="5"/>
  </si>
  <si>
    <r>
      <t>T</t>
    </r>
    <r>
      <rPr>
        <vertAlign val="subscript"/>
        <sz val="11"/>
        <color theme="1"/>
        <rFont val="Yu Gothic"/>
        <family val="3"/>
        <charset val="128"/>
        <scheme val="minor"/>
      </rPr>
      <t>m</t>
    </r>
    <phoneticPr fontId="5"/>
  </si>
  <si>
    <r>
      <t>H</t>
    </r>
    <r>
      <rPr>
        <vertAlign val="subscript"/>
        <sz val="11"/>
        <color theme="1"/>
        <rFont val="Yu Gothic"/>
        <family val="3"/>
        <charset val="128"/>
        <scheme val="minor"/>
      </rPr>
      <t>s</t>
    </r>
    <phoneticPr fontId="5"/>
  </si>
  <si>
    <r>
      <t>T</t>
    </r>
    <r>
      <rPr>
        <vertAlign val="subscript"/>
        <sz val="11"/>
        <color theme="1"/>
        <rFont val="Yu Gothic"/>
        <family val="3"/>
        <charset val="128"/>
        <scheme val="minor"/>
      </rPr>
      <t>s</t>
    </r>
    <phoneticPr fontId="5"/>
  </si>
  <si>
    <t>s</t>
    <phoneticPr fontId="4"/>
  </si>
  <si>
    <t>m</t>
    <phoneticPr fontId="4"/>
  </si>
  <si>
    <t>底質密度</t>
    <rPh sb="0" eb="2">
      <t>テイシツ</t>
    </rPh>
    <rPh sb="2" eb="4">
      <t>ミツド</t>
    </rPh>
    <phoneticPr fontId="4"/>
  </si>
  <si>
    <r>
      <t>ρ</t>
    </r>
    <r>
      <rPr>
        <vertAlign val="subscript"/>
        <sz val="11"/>
        <color theme="1"/>
        <rFont val="Yu Gothic"/>
        <family val="3"/>
        <charset val="128"/>
        <scheme val="minor"/>
      </rPr>
      <t>s</t>
    </r>
    <phoneticPr fontId="4"/>
  </si>
  <si>
    <t>ρ</t>
    <phoneticPr fontId="4"/>
  </si>
  <si>
    <t>海水密度</t>
    <rPh sb="0" eb="2">
      <t>カイスイ</t>
    </rPh>
    <rPh sb="2" eb="4">
      <t>ミツド</t>
    </rPh>
    <phoneticPr fontId="4"/>
  </si>
  <si>
    <r>
      <t>kg/m</t>
    </r>
    <r>
      <rPr>
        <vertAlign val="superscript"/>
        <sz val="11"/>
        <color theme="1"/>
        <rFont val="Yu Gothic"/>
        <family val="3"/>
        <charset val="128"/>
        <scheme val="minor"/>
      </rPr>
      <t>3</t>
    </r>
    <phoneticPr fontId="4"/>
  </si>
  <si>
    <r>
      <t>W</t>
    </r>
    <r>
      <rPr>
        <vertAlign val="subscript"/>
        <sz val="11"/>
        <color theme="1"/>
        <rFont val="Yu Gothic"/>
        <family val="3"/>
        <charset val="128"/>
        <scheme val="minor"/>
      </rPr>
      <t>f</t>
    </r>
    <r>
      <rPr>
        <sz val="11"/>
        <color theme="1"/>
        <rFont val="Yu Gothic"/>
        <family val="2"/>
        <scheme val="minor"/>
      </rPr>
      <t xml:space="preserve"> </t>
    </r>
    <phoneticPr fontId="4"/>
  </si>
  <si>
    <t>底質沈降速度</t>
    <rPh sb="0" eb="2">
      <t>テイシツ</t>
    </rPh>
    <rPh sb="2" eb="4">
      <t>チンコウ</t>
    </rPh>
    <rPh sb="4" eb="6">
      <t>ソクド</t>
    </rPh>
    <phoneticPr fontId="4"/>
  </si>
  <si>
    <t>m/s</t>
    <phoneticPr fontId="4"/>
  </si>
  <si>
    <t>海浜断面係数</t>
    <rPh sb="0" eb="2">
      <t>カイヒン</t>
    </rPh>
    <rPh sb="2" eb="4">
      <t>ダンメン</t>
    </rPh>
    <rPh sb="4" eb="6">
      <t>ケイスウ</t>
    </rPh>
    <phoneticPr fontId="4"/>
  </si>
  <si>
    <t>A</t>
    <phoneticPr fontId="4"/>
  </si>
  <si>
    <r>
      <t>m</t>
    </r>
    <r>
      <rPr>
        <vertAlign val="superscript"/>
        <sz val="11"/>
        <color theme="1"/>
        <rFont val="Yu Gothic"/>
        <family val="3"/>
        <charset val="128"/>
        <scheme val="minor"/>
      </rPr>
      <t>1/3</t>
    </r>
    <phoneticPr fontId="4"/>
  </si>
  <si>
    <t>海水面上昇量</t>
    <rPh sb="0" eb="3">
      <t>カイスイメン</t>
    </rPh>
    <rPh sb="3" eb="6">
      <t>ジョウショウリョウ</t>
    </rPh>
    <phoneticPr fontId="4"/>
  </si>
  <si>
    <t>S</t>
    <phoneticPr fontId="4"/>
  </si>
  <si>
    <t>移動限界水深</t>
    <rPh sb="0" eb="2">
      <t>イドウ</t>
    </rPh>
    <rPh sb="2" eb="4">
      <t>ゲンカイ</t>
    </rPh>
    <rPh sb="4" eb="6">
      <t>スイシン</t>
    </rPh>
    <phoneticPr fontId="4"/>
  </si>
  <si>
    <r>
      <t>h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phoneticPr fontId="4"/>
  </si>
  <si>
    <t>移動限界までの離岸距離</t>
    <rPh sb="0" eb="2">
      <t>イドウ</t>
    </rPh>
    <rPh sb="2" eb="4">
      <t>ゲンカイ</t>
    </rPh>
    <rPh sb="7" eb="11">
      <t>リガンキョリ</t>
    </rPh>
    <phoneticPr fontId="4"/>
  </si>
  <si>
    <r>
      <t>y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phoneticPr fontId="4"/>
  </si>
  <si>
    <t>Bh</t>
    <phoneticPr fontId="4"/>
  </si>
  <si>
    <t>汀線後退量</t>
    <rPh sb="0" eb="2">
      <t>テイセン</t>
    </rPh>
    <rPh sb="2" eb="4">
      <t>コウタイ</t>
    </rPh>
    <rPh sb="4" eb="5">
      <t>リョウ</t>
    </rPh>
    <phoneticPr fontId="4"/>
  </si>
  <si>
    <t>tanα</t>
    <phoneticPr fontId="4"/>
  </si>
  <si>
    <t>砕波波高</t>
    <rPh sb="0" eb="1">
      <t>クダ</t>
    </rPh>
    <rPh sb="1" eb="2">
      <t>ハ</t>
    </rPh>
    <rPh sb="2" eb="4">
      <t>ハコウ</t>
    </rPh>
    <phoneticPr fontId="4"/>
  </si>
  <si>
    <t>Hb</t>
    <phoneticPr fontId="4"/>
  </si>
  <si>
    <t>バーム高</t>
    <rPh sb="3" eb="4">
      <t>タカ</t>
    </rPh>
    <phoneticPr fontId="4"/>
  </si>
  <si>
    <t>Δy</t>
    <phoneticPr fontId="4"/>
  </si>
  <si>
    <t>tanα</t>
    <phoneticPr fontId="4"/>
  </si>
  <si>
    <t>tanα=0.25(d/Ho)^0.25(Ho/Lo)^(-0.15)</t>
    <phoneticPr fontId="4"/>
  </si>
  <si>
    <t>波形勾配（平均波）</t>
    <rPh sb="0" eb="4">
      <t>ハケイコウバイ</t>
    </rPh>
    <rPh sb="5" eb="8">
      <t>ヘイキンハ</t>
    </rPh>
    <phoneticPr fontId="4"/>
  </si>
  <si>
    <t>Hs/Ls</t>
    <phoneticPr fontId="4"/>
  </si>
  <si>
    <t>-</t>
    <phoneticPr fontId="4"/>
  </si>
  <si>
    <t>tanβ</t>
    <phoneticPr fontId="4"/>
  </si>
  <si>
    <t>tanα</t>
    <phoneticPr fontId="4"/>
  </si>
  <si>
    <t>式(5.17.2)</t>
    <rPh sb="0" eb="1">
      <t>シキ</t>
    </rPh>
    <phoneticPr fontId="4"/>
  </si>
  <si>
    <r>
      <t>式(5.17.1)にh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を代入し，y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を算定</t>
    </r>
    <rPh sb="0" eb="1">
      <t>シキ</t>
    </rPh>
    <rPh sb="13" eb="15">
      <t>ダイニュウ</t>
    </rPh>
    <rPh sb="20" eb="22">
      <t>サンテイ</t>
    </rPh>
    <phoneticPr fontId="4"/>
  </si>
  <si>
    <t>式(5.17.8)</t>
    <rPh sb="0" eb="1">
      <t>シキ</t>
    </rPh>
    <phoneticPr fontId="4"/>
  </si>
  <si>
    <t>式(5.17.7)</t>
    <rPh sb="0" eb="1">
      <t>シキ</t>
    </rPh>
    <phoneticPr fontId="4"/>
  </si>
  <si>
    <t>式(5.17.6)</t>
    <rPh sb="0" eb="1">
      <t>シキ</t>
    </rPh>
    <phoneticPr fontId="4"/>
  </si>
  <si>
    <t>式(5.17.4)</t>
    <rPh sb="0" eb="1">
      <t>シキ</t>
    </rPh>
    <phoneticPr fontId="4"/>
  </si>
  <si>
    <t>記号</t>
    <rPh sb="0" eb="2">
      <t>キゴウ</t>
    </rPh>
    <phoneticPr fontId="4"/>
  </si>
  <si>
    <t>算定値</t>
    <rPh sb="0" eb="2">
      <t>サンテイ</t>
    </rPh>
    <rPh sb="2" eb="3">
      <t>チ</t>
    </rPh>
    <phoneticPr fontId="4"/>
  </si>
  <si>
    <t>単位</t>
    <rPh sb="0" eb="2">
      <t>タンイ</t>
    </rPh>
    <phoneticPr fontId="4"/>
  </si>
  <si>
    <t>備考</t>
    <rPh sb="0" eb="2">
      <t>ビコウ</t>
    </rPh>
    <phoneticPr fontId="4"/>
  </si>
  <si>
    <t>前浜勾配【便覧(2.5.20)】</t>
    <rPh sb="0" eb="2">
      <t>マエハマ</t>
    </rPh>
    <rPh sb="2" eb="4">
      <t>コウバイ</t>
    </rPh>
    <rPh sb="5" eb="7">
      <t>ビンラン</t>
    </rPh>
    <phoneticPr fontId="4"/>
  </si>
  <si>
    <t>tanα=0.12/(Hb/(g^0.5d^0.5T))^0.5</t>
    <phoneticPr fontId="4"/>
  </si>
  <si>
    <t>A</t>
    <phoneticPr fontId="4"/>
  </si>
  <si>
    <t>前浜勾配【Kreibelら,1991】</t>
    <rPh sb="0" eb="2">
      <t>マエハマ</t>
    </rPh>
    <rPh sb="2" eb="4">
      <t>コウバイ</t>
    </rPh>
    <phoneticPr fontId="4"/>
  </si>
  <si>
    <t>前浜勾配【便覧(表5.4.34)】</t>
    <rPh sb="0" eb="2">
      <t>マエハマ</t>
    </rPh>
    <rPh sb="2" eb="4">
      <t>コウバイ</t>
    </rPh>
    <rPh sb="5" eb="7">
      <t>ビンラン</t>
    </rPh>
    <rPh sb="8" eb="9">
      <t>ヒョウ</t>
    </rPh>
    <phoneticPr fontId="4"/>
  </si>
  <si>
    <t>Sunamuraの提案</t>
    <rPh sb="9" eb="11">
      <t>テイアン</t>
    </rPh>
    <phoneticPr fontId="4"/>
  </si>
  <si>
    <t>平均勾配</t>
    <rPh sb="0" eb="2">
      <t>ヘイキン</t>
    </rPh>
    <rPh sb="2" eb="4">
      <t>コウバイ</t>
    </rPh>
    <phoneticPr fontId="4"/>
  </si>
  <si>
    <t>tanβ</t>
    <phoneticPr fontId="4"/>
  </si>
  <si>
    <t>外浜勾配【便覧(5.4.23)】</t>
    <rPh sb="0" eb="2">
      <t>ソトハマ</t>
    </rPh>
    <rPh sb="2" eb="4">
      <t>コウバイ</t>
    </rPh>
    <rPh sb="5" eb="7">
      <t>ビンラン</t>
    </rPh>
    <phoneticPr fontId="4"/>
  </si>
  <si>
    <t>式(5.17.5)：最大有義波の諸元から算定</t>
    <rPh sb="0" eb="1">
      <t>シキ</t>
    </rPh>
    <rPh sb="10" eb="12">
      <t>サイダイ</t>
    </rPh>
    <rPh sb="12" eb="15">
      <t>ユウギハ</t>
    </rPh>
    <rPh sb="16" eb="18">
      <t>ショゲン</t>
    </rPh>
    <rPh sb="20" eb="22">
      <t>サンテイ</t>
    </rPh>
    <phoneticPr fontId="4"/>
  </si>
  <si>
    <t>平衡断面係数【Dean, 1991】</t>
    <rPh sb="0" eb="2">
      <t>ヘイコウ</t>
    </rPh>
    <rPh sb="2" eb="4">
      <t>ダンメン</t>
    </rPh>
    <rPh sb="4" eb="6">
      <t>ケイスウ</t>
    </rPh>
    <phoneticPr fontId="4"/>
  </si>
  <si>
    <t>平衡断面係数【Kreibelら, 1991】</t>
    <rPh sb="0" eb="2">
      <t>ヘイコウ</t>
    </rPh>
    <rPh sb="2" eb="4">
      <t>ダンメン</t>
    </rPh>
    <rPh sb="4" eb="6">
      <t>ケイスウ</t>
    </rPh>
    <phoneticPr fontId="4"/>
  </si>
  <si>
    <r>
      <t>式(5.17.3) g=9.8m/s</t>
    </r>
    <r>
      <rPr>
        <vertAlign val="superscript"/>
        <sz val="11"/>
        <color theme="1"/>
        <rFont val="Yu Gothic"/>
        <family val="3"/>
        <charset val="128"/>
        <scheme val="minor"/>
      </rPr>
      <t>2,</t>
    </r>
    <r>
      <rPr>
        <sz val="11"/>
        <color theme="1"/>
        <rFont val="Yu Gothic"/>
        <family val="2"/>
        <scheme val="minor"/>
      </rPr>
      <t xml:space="preserve"> ν=10</t>
    </r>
    <r>
      <rPr>
        <vertAlign val="superscript"/>
        <sz val="11"/>
        <color theme="1"/>
        <rFont val="Yu Gothic"/>
        <family val="3"/>
        <charset val="128"/>
        <scheme val="minor"/>
      </rPr>
      <t>-6</t>
    </r>
    <r>
      <rPr>
        <sz val="11"/>
        <color theme="1"/>
        <rFont val="Yu Gothic"/>
        <family val="2"/>
        <scheme val="minor"/>
      </rPr>
      <t>m</t>
    </r>
    <r>
      <rPr>
        <vertAlign val="superscript"/>
        <sz val="11"/>
        <color theme="1"/>
        <rFont val="Yu Gothic"/>
        <family val="3"/>
        <charset val="128"/>
        <scheme val="minor"/>
      </rPr>
      <t>2</t>
    </r>
    <r>
      <rPr>
        <sz val="11"/>
        <color theme="1"/>
        <rFont val="Yu Gothic"/>
        <family val="2"/>
        <scheme val="minor"/>
      </rPr>
      <t>/sを用いる</t>
    </r>
    <rPh sb="0" eb="1">
      <t>シキ</t>
    </rPh>
    <rPh sb="32" eb="33">
      <t>モチ</t>
    </rPh>
    <phoneticPr fontId="4"/>
  </si>
  <si>
    <t>前浜勾配【便覧(5.4.22)】</t>
    <rPh sb="0" eb="2">
      <t>マエハマ</t>
    </rPh>
    <rPh sb="2" eb="4">
      <t>コウバイ</t>
    </rPh>
    <rPh sb="5" eb="7">
      <t>ビンラン</t>
    </rPh>
    <phoneticPr fontId="4"/>
  </si>
  <si>
    <t>前浜勾配【便覧(2.5.21)】</t>
    <rPh sb="0" eb="2">
      <t>マエハマ</t>
    </rPh>
    <rPh sb="2" eb="4">
      <t>コウバイ</t>
    </rPh>
    <rPh sb="5" eb="7">
      <t>ビンラン</t>
    </rPh>
    <phoneticPr fontId="4"/>
  </si>
  <si>
    <t>沖波波形勾配=Hs/(gTs^2/2π):平均有義波</t>
    <rPh sb="0" eb="2">
      <t>オキナミ</t>
    </rPh>
    <rPh sb="2" eb="6">
      <t>ハケイコウバイ</t>
    </rPh>
    <rPh sb="21" eb="23">
      <t>ヘイキン</t>
    </rPh>
    <rPh sb="23" eb="25">
      <t>ユウギ</t>
    </rPh>
    <rPh sb="25" eb="26">
      <t>ハ</t>
    </rPh>
    <phoneticPr fontId="4"/>
  </si>
  <si>
    <r>
      <t>tanβ=(h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+B</t>
    </r>
    <r>
      <rPr>
        <vertAlign val="subscript"/>
        <sz val="11"/>
        <color theme="1"/>
        <rFont val="Yu Gothic"/>
        <family val="3"/>
        <charset val="128"/>
        <scheme val="minor"/>
      </rPr>
      <t>h</t>
    </r>
    <r>
      <rPr>
        <sz val="11"/>
        <color theme="1"/>
        <rFont val="Yu Gothic"/>
        <family val="2"/>
        <scheme val="minor"/>
      </rPr>
      <t>)/y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phoneticPr fontId="4"/>
  </si>
  <si>
    <r>
      <t>tanβ=0.5(W</t>
    </r>
    <r>
      <rPr>
        <vertAlign val="subscript"/>
        <sz val="11"/>
        <color theme="1"/>
        <rFont val="Yu Gothic"/>
        <family val="3"/>
        <charset val="128"/>
        <scheme val="minor"/>
      </rPr>
      <t>f</t>
    </r>
    <r>
      <rPr>
        <sz val="11"/>
        <color theme="1"/>
        <rFont val="Yu Gothic"/>
        <family val="2"/>
        <scheme val="minor"/>
      </rPr>
      <t>/gT)/(Ho/Lo)</t>
    </r>
    <phoneticPr fontId="4"/>
  </si>
  <si>
    <t>【便覧(5.4.21)】と式(5.17.7)を連立</t>
    <rPh sb="13" eb="14">
      <t>シキ</t>
    </rPh>
    <rPh sb="23" eb="25">
      <t>レンリツ</t>
    </rPh>
    <phoneticPr fontId="4"/>
  </si>
  <si>
    <t>tanα=0.15(Ho/wT)^(-0.5)</t>
    <phoneticPr fontId="4"/>
  </si>
  <si>
    <t>図5.17.1 海面上昇に対する海浜縦断地形変化の模式図</t>
    <rPh sb="0" eb="1">
      <t>ズ</t>
    </rPh>
    <phoneticPr fontId="4"/>
  </si>
  <si>
    <t xml:space="preserve"> A=0.067Wf^0.44 (注:Wfの単位はcm/s)</t>
    <rPh sb="17" eb="18">
      <t>チュウ</t>
    </rPh>
    <rPh sb="22" eb="24">
      <t>タンイ</t>
    </rPh>
    <phoneticPr fontId="4"/>
  </si>
  <si>
    <t>式(5.17.2)【便覧(5.4.25)】 A＝2.25(Wf^2/g)^(1/3)</t>
    <rPh sb="0" eb="1">
      <t>シキ</t>
    </rPh>
    <phoneticPr fontId="4"/>
  </si>
  <si>
    <t>：条件の数値を入力する．</t>
    <rPh sb="1" eb="3">
      <t>ジョウケン</t>
    </rPh>
    <rPh sb="4" eb="6">
      <t>スウチ</t>
    </rPh>
    <rPh sb="7" eb="9">
      <t>ニュウリョク</t>
    </rPh>
    <phoneticPr fontId="4"/>
  </si>
  <si>
    <t>【使用方法】左の表中のオレンジのセルに値を入力することで、計算セルと出力セルの値が変化します。</t>
    <rPh sb="1" eb="5">
      <t>シヨウホウホウ</t>
    </rPh>
    <rPh sb="6" eb="7">
      <t>ヒダリ</t>
    </rPh>
    <rPh sb="8" eb="9">
      <t>ヒョウ</t>
    </rPh>
    <rPh sb="9" eb="10">
      <t>チュウ</t>
    </rPh>
    <rPh sb="19" eb="20">
      <t>アタイ</t>
    </rPh>
    <rPh sb="21" eb="23">
      <t>ニュウリョク</t>
    </rPh>
    <rPh sb="29" eb="31">
      <t>ケイサン</t>
    </rPh>
    <rPh sb="34" eb="36">
      <t>シュツリョク</t>
    </rPh>
    <rPh sb="39" eb="40">
      <t>アタイ</t>
    </rPh>
    <rPh sb="41" eb="43">
      <t>ヘンカ</t>
    </rPh>
    <phoneticPr fontId="4"/>
  </si>
  <si>
    <t>項目（入力）</t>
    <rPh sb="0" eb="2">
      <t>コウモク</t>
    </rPh>
    <rPh sb="3" eb="5">
      <t>ニュウリョク</t>
    </rPh>
    <phoneticPr fontId="4"/>
  </si>
  <si>
    <t>項目（算定）</t>
    <rPh sb="0" eb="2">
      <t>コウモク</t>
    </rPh>
    <rPh sb="3" eb="5">
      <t>サンテイ</t>
    </rPh>
    <phoneticPr fontId="4"/>
  </si>
  <si>
    <t>【解説】</t>
    <rPh sb="1" eb="3">
      <t>カイセツ</t>
    </rPh>
    <phoneticPr fontId="4"/>
  </si>
  <si>
    <t>【参考】各種の海底勾配の算定方法</t>
    <rPh sb="1" eb="3">
      <t>サンコウ</t>
    </rPh>
    <rPh sb="4" eb="6">
      <t>カクシュ</t>
    </rPh>
    <rPh sb="7" eb="9">
      <t>カイテイ</t>
    </rPh>
    <rPh sb="9" eb="11">
      <t>コウバイ</t>
    </rPh>
    <rPh sb="12" eb="14">
      <t>サンテイ</t>
    </rPh>
    <rPh sb="14" eb="16">
      <t>ホウホウ</t>
    </rPh>
    <phoneticPr fontId="4"/>
  </si>
  <si>
    <t>ここで、便覧は「土木学会、海岸施設設計便覧[2000年版）」に記載の式であることを示す</t>
    <rPh sb="31" eb="33">
      <t>キサイ</t>
    </rPh>
    <rPh sb="34" eb="35">
      <t>シキ</t>
    </rPh>
    <rPh sb="41" eb="42">
      <t>シメ</t>
    </rPh>
    <phoneticPr fontId="4"/>
  </si>
  <si>
    <t>mmの単位で入力すること</t>
    <rPh sb="3" eb="5">
      <t>タンイ</t>
    </rPh>
    <rPh sb="6" eb="8">
      <t>ニュウリョク</t>
    </rPh>
    <phoneticPr fontId="4"/>
  </si>
  <si>
    <t>年数回波の有義波高, or Effective Wave Height</t>
    <rPh sb="0" eb="1">
      <t>ネン</t>
    </rPh>
    <rPh sb="1" eb="3">
      <t>スウカイ</t>
    </rPh>
    <rPh sb="3" eb="4">
      <t>ハ</t>
    </rPh>
    <rPh sb="5" eb="7">
      <t>ユウギ</t>
    </rPh>
    <rPh sb="7" eb="9">
      <t>ハコウ</t>
    </rPh>
    <phoneticPr fontId="4"/>
  </si>
  <si>
    <t>年数回波の有義周期</t>
    <rPh sb="0" eb="1">
      <t>ネン</t>
    </rPh>
    <rPh sb="1" eb="3">
      <t>スウカイ</t>
    </rPh>
    <rPh sb="3" eb="4">
      <t>ハ</t>
    </rPh>
    <rPh sb="5" eb="7">
      <t>ユウギ</t>
    </rPh>
    <rPh sb="7" eb="9">
      <t>シュウキ</t>
    </rPh>
    <phoneticPr fontId="4"/>
  </si>
  <si>
    <t>エネルギー平均波の有義波高</t>
    <rPh sb="5" eb="8">
      <t>ヘイキンハ</t>
    </rPh>
    <rPh sb="9" eb="11">
      <t>ユウギ</t>
    </rPh>
    <rPh sb="11" eb="13">
      <t>ハコウ</t>
    </rPh>
    <phoneticPr fontId="4"/>
  </si>
  <si>
    <t>エネルギー平均波の有義波周期</t>
    <rPh sb="5" eb="7">
      <t>ヘイキン</t>
    </rPh>
    <rPh sb="7" eb="8">
      <t>ハ</t>
    </rPh>
    <rPh sb="9" eb="11">
      <t>ユウギ</t>
    </rPh>
    <rPh sb="11" eb="12">
      <t>ハ</t>
    </rPh>
    <rPh sb="12" eb="14">
      <t>シュウキ</t>
    </rPh>
    <phoneticPr fontId="4"/>
  </si>
  <si>
    <t>与条件の海水面上昇量</t>
    <rPh sb="0" eb="3">
      <t>ヨジョウケン</t>
    </rPh>
    <rPh sb="4" eb="7">
      <t>カイスイメン</t>
    </rPh>
    <rPh sb="7" eb="9">
      <t>ジョウショウ</t>
    </rPh>
    <rPh sb="9" eb="10">
      <t>リョウ</t>
    </rPh>
    <phoneticPr fontId="4"/>
  </si>
  <si>
    <t>沖波波形勾配(平均有義波)=Hs/(gTs^2/2π)</t>
    <rPh sb="0" eb="2">
      <t>オキナミ</t>
    </rPh>
    <rPh sb="2" eb="6">
      <t>ハケイコウバイ</t>
    </rPh>
    <phoneticPr fontId="4"/>
  </si>
  <si>
    <t>このシートでは、移動限界水深と浅水係数を算定するVBA関数が使用されています。</t>
    <rPh sb="8" eb="12">
      <t>イドウゲンカイ</t>
    </rPh>
    <rPh sb="12" eb="14">
      <t>スイシン</t>
    </rPh>
    <rPh sb="15" eb="19">
      <t>センスイケイスウ</t>
    </rPh>
    <rPh sb="20" eb="22">
      <t>サンテイ</t>
    </rPh>
    <rPh sb="27" eb="29">
      <t>カンスウ</t>
    </rPh>
    <rPh sb="30" eb="32">
      <t>シヨウ</t>
    </rPh>
    <phoneticPr fontId="4"/>
  </si>
  <si>
    <t>算定項目</t>
    <rPh sb="0" eb="2">
      <t>サンテイ</t>
    </rPh>
    <rPh sb="2" eb="4">
      <t>コウモク</t>
    </rPh>
    <phoneticPr fontId="4"/>
  </si>
  <si>
    <t>VBA関数名</t>
    <rPh sb="3" eb="5">
      <t>カンスウ</t>
    </rPh>
    <rPh sb="5" eb="6">
      <t>メイ</t>
    </rPh>
    <phoneticPr fontId="4"/>
  </si>
  <si>
    <t>引数</t>
    <rPh sb="0" eb="2">
      <t>ヒキスウ</t>
    </rPh>
    <phoneticPr fontId="4"/>
  </si>
  <si>
    <t>・VBA関数は、Excelの組み込み関数と同じように使用することができます。</t>
    <rPh sb="4" eb="6">
      <t>カンスウ</t>
    </rPh>
    <rPh sb="14" eb="15">
      <t>ク</t>
    </rPh>
    <rPh sb="16" eb="17">
      <t>コ</t>
    </rPh>
    <rPh sb="18" eb="20">
      <t>カンスウ</t>
    </rPh>
    <rPh sb="21" eb="22">
      <t>オナ</t>
    </rPh>
    <rPh sb="26" eb="28">
      <t>シヨウ</t>
    </rPh>
    <phoneticPr fontId="4"/>
  </si>
  <si>
    <t>・VBA関数のソースコードは、エクセルメニューの［開発］タブの［コードの表示］から参照できます。</t>
    <rPh sb="4" eb="6">
      <t>カンスウ</t>
    </rPh>
    <rPh sb="25" eb="27">
      <t>カイハツ</t>
    </rPh>
    <rPh sb="36" eb="38">
      <t>ヒョウジ</t>
    </rPh>
    <rPh sb="41" eb="43">
      <t>サンショウ</t>
    </rPh>
    <phoneticPr fontId="4"/>
  </si>
  <si>
    <t>・Excelのメニューに「開発」タブが表示されていない場合は、WEBの情報から表示方法を確認し、表示できるようにしてください。</t>
    <rPh sb="13" eb="15">
      <t>カイハツ</t>
    </rPh>
    <rPh sb="19" eb="21">
      <t>ヒョウジ</t>
    </rPh>
    <rPh sb="27" eb="29">
      <t>バアイ</t>
    </rPh>
    <rPh sb="35" eb="37">
      <t>ジョウホウ</t>
    </rPh>
    <rPh sb="39" eb="41">
      <t>ヒョウジ</t>
    </rPh>
    <rPh sb="41" eb="43">
      <t>ホウホウ</t>
    </rPh>
    <rPh sb="44" eb="46">
      <t>カクニン</t>
    </rPh>
    <rPh sb="48" eb="50">
      <t>ヒョウジ</t>
    </rPh>
    <phoneticPr fontId="4"/>
  </si>
  <si>
    <t>底質の沈降速度</t>
    <rPh sb="0" eb="2">
      <t>テイシツ</t>
    </rPh>
    <rPh sb="3" eb="7">
      <t>チンコウソクド</t>
    </rPh>
    <phoneticPr fontId="4"/>
  </si>
  <si>
    <t>Ws_Rubey</t>
    <phoneticPr fontId="4"/>
  </si>
  <si>
    <r>
      <t>(d, ρ</t>
    </r>
    <r>
      <rPr>
        <vertAlign val="subscript"/>
        <sz val="11"/>
        <color theme="1"/>
        <rFont val="Yu Gothic"/>
        <family val="3"/>
        <charset val="128"/>
        <scheme val="minor"/>
      </rPr>
      <t>s</t>
    </r>
    <r>
      <rPr>
        <sz val="11"/>
        <color theme="1"/>
        <rFont val="Yu Gothic"/>
        <family val="2"/>
        <scheme val="minor"/>
      </rPr>
      <t>, ρ)</t>
    </r>
    <phoneticPr fontId="4"/>
  </si>
  <si>
    <t>Morph_Kriebel_A</t>
    <phoneticPr fontId="4"/>
  </si>
  <si>
    <r>
      <t>(W</t>
    </r>
    <r>
      <rPr>
        <vertAlign val="subscript"/>
        <sz val="11"/>
        <color theme="1"/>
        <rFont val="Yu Gothic"/>
        <family val="3"/>
        <charset val="128"/>
        <scheme val="minor"/>
      </rPr>
      <t>f</t>
    </r>
    <r>
      <rPr>
        <sz val="11"/>
        <color theme="1"/>
        <rFont val="Yu Gothic"/>
        <family val="2"/>
        <scheme val="minor"/>
      </rPr>
      <t xml:space="preserve"> )</t>
    </r>
    <phoneticPr fontId="4"/>
  </si>
  <si>
    <t>式(5.17.3)</t>
    <rPh sb="0" eb="1">
      <t>シキ</t>
    </rPh>
    <phoneticPr fontId="4"/>
  </si>
  <si>
    <t>ClosureDepth_Hallermeier</t>
    <phoneticPr fontId="4"/>
  </si>
  <si>
    <t>式(5.17.5)</t>
    <rPh sb="0" eb="1">
      <t>シキ</t>
    </rPh>
    <phoneticPr fontId="4"/>
  </si>
  <si>
    <t>(Hm, Tm )</t>
    <phoneticPr fontId="4"/>
  </si>
  <si>
    <t>海浜断面係数</t>
    <rPh sb="0" eb="4">
      <t>カイヒンダンメン</t>
    </rPh>
    <rPh sb="4" eb="6">
      <t>ケイスウ</t>
    </rPh>
    <phoneticPr fontId="4"/>
  </si>
  <si>
    <t>移動限界水深</t>
    <rPh sb="0" eb="4">
      <t>イドウゲンカイ</t>
    </rPh>
    <rPh sb="4" eb="6">
      <t>スイシン</t>
    </rPh>
    <phoneticPr fontId="4"/>
  </si>
  <si>
    <t>【例題5.17】（１）底質粒径が0.2mm、海面上昇量が0.4mのときの汀線後退量</t>
    <rPh sb="11" eb="13">
      <t>テイシツ</t>
    </rPh>
    <rPh sb="13" eb="15">
      <t>リュウケイ</t>
    </rPh>
    <rPh sb="22" eb="24">
      <t>カイメン</t>
    </rPh>
    <rPh sb="24" eb="27">
      <t>ジョウショウリョウ</t>
    </rPh>
    <rPh sb="36" eb="38">
      <t>テイセン</t>
    </rPh>
    <rPh sb="38" eb="40">
      <t>コウタイ</t>
    </rPh>
    <rPh sb="40" eb="41">
      <t>リョウ</t>
    </rPh>
    <phoneticPr fontId="4"/>
  </si>
  <si>
    <t>【例題5.17】（２）底質粒径が0.2mm、海面上昇量が0.8mのときの汀線後退量</t>
    <rPh sb="1" eb="3">
      <t>レイダイ</t>
    </rPh>
    <phoneticPr fontId="4"/>
  </si>
  <si>
    <t>【例題5.17】（３）底質粒径が0.7mm、海面上昇量が0.4mのときの汀線後退量</t>
    <rPh sb="1" eb="3">
      <t>レイダイ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</si>
</sst>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00"/>
    <numFmt numFmtId="177" formatCode="&quot;1/&quot;0"/>
    <numFmt numFmtId="178" formatCode="&quot;≒1/&quot;0"/>
    <numFmt numFmtId="179" formatCode="0.0"/>
    <numFmt numFmtId="180" formatCode="#,##0.0000;[Red]\-#,##0.0000"/>
    <numFmt numFmtId="181" formatCode="0.000"/>
    <numFmt numFmtId="182" formatCode="0.00000"/>
    <numFmt numFmtId="183" formatCode="0.000000"/>
  </numFmts>
  <fonts count="15">
    <font>
      <sz val="11"/>
      <color theme="1"/>
      <name val="Yu Gothic"/>
      <family val="2"/>
      <scheme val="minor"/>
    </font>
    <font>
      <sz val="11"/>
      <color rgb="FF3F3F76"/>
      <name val="Yu Gothic"/>
      <family val="2"/>
      <charset val="128"/>
      <scheme val="minor"/>
    </font>
    <font>
      <b/>
      <sz val="11"/>
      <color rgb="FF3F3F3F"/>
      <name val="Yu Gothic"/>
      <family val="2"/>
      <charset val="128"/>
      <scheme val="minor"/>
    </font>
    <font>
      <b/>
      <sz val="11"/>
      <color rgb="FFFA7D00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vertAlign val="subscript"/>
      <sz val="11"/>
      <color theme="1"/>
      <name val="Yu Gothic"/>
      <family val="3"/>
      <charset val="128"/>
      <scheme val="minor"/>
    </font>
    <font>
      <vertAlign val="superscript"/>
      <sz val="11"/>
      <color theme="1"/>
      <name val="Yu Gothic"/>
      <family val="3"/>
      <charset val="128"/>
      <scheme val="minor"/>
    </font>
    <font>
      <b/>
      <sz val="11"/>
      <name val="Yu Gothic"/>
      <family val="2"/>
      <charset val="128"/>
      <scheme val="minor"/>
    </font>
    <font>
      <sz val="11"/>
      <color theme="1"/>
      <name val="Yu Gothic"/>
      <family val="2"/>
      <scheme val="minor"/>
    </font>
    <font>
      <b/>
      <sz val="1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1"/>
      <color rgb="FFFA7D00"/>
      <name val="Yu Gothic"/>
      <family val="3"/>
      <charset val="128"/>
      <scheme val="minor"/>
    </font>
    <font>
      <sz val="11"/>
      <color theme="1"/>
      <name val="游ゴシック"/>
      <family val="2"/>
      <charset val="128"/>
    </font>
    <font>
      <b/>
      <sz val="11"/>
      <color theme="5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>
      <alignment vertical="center"/>
    </xf>
    <xf numFmtId="0" fontId="2" fillId="3" borderId="2" applyNumberFormat="0" applyAlignment="0" applyProtection="0">
      <alignment vertical="center"/>
    </xf>
    <xf numFmtId="0" fontId="3" fillId="3" borderId="1" applyNumberFormat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</cellStyleXfs>
  <cellXfs count="48">
    <xf numFmtId="0" fontId="0" fillId="0" borderId="0" xfId="0"/>
    <xf numFmtId="0" fontId="0" fillId="0" borderId="3" xfId="0" applyBorder="1" applyAlignment="1">
      <alignment vertical="center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4" xfId="0" applyBorder="1"/>
    <xf numFmtId="0" fontId="2" fillId="3" borderId="2" xfId="2" applyAlignment="1"/>
    <xf numFmtId="0" fontId="1" fillId="2" borderId="1" xfId="1" applyAlignment="1"/>
    <xf numFmtId="0" fontId="3" fillId="3" borderId="1" xfId="3" applyAlignment="1"/>
    <xf numFmtId="0" fontId="0" fillId="4" borderId="3" xfId="0" applyFill="1" applyBorder="1"/>
    <xf numFmtId="0" fontId="0" fillId="4" borderId="5" xfId="0" applyFill="1" applyBorder="1"/>
    <xf numFmtId="0" fontId="1" fillId="2" borderId="3" xfId="1" applyBorder="1" applyAlignment="1">
      <alignment vertical="center"/>
    </xf>
    <xf numFmtId="2" fontId="3" fillId="3" borderId="3" xfId="3" applyNumberFormat="1" applyBorder="1" applyAlignment="1"/>
    <xf numFmtId="176" fontId="3" fillId="3" borderId="1" xfId="3" applyNumberFormat="1" applyAlignment="1"/>
    <xf numFmtId="178" fontId="0" fillId="0" borderId="3" xfId="0" applyNumberFormat="1" applyBorder="1" applyAlignment="1">
      <alignment horizontal="left"/>
    </xf>
    <xf numFmtId="176" fontId="3" fillId="3" borderId="0" xfId="3" applyNumberFormat="1" applyBorder="1" applyAlignment="1"/>
    <xf numFmtId="179" fontId="1" fillId="2" borderId="3" xfId="1" applyNumberFormat="1" applyBorder="1" applyAlignment="1">
      <alignment vertical="center"/>
    </xf>
    <xf numFmtId="2" fontId="8" fillId="3" borderId="2" xfId="2" applyNumberFormat="1" applyFont="1" applyAlignment="1"/>
    <xf numFmtId="179" fontId="3" fillId="3" borderId="3" xfId="3" applyNumberFormat="1" applyBorder="1" applyAlignment="1"/>
    <xf numFmtId="0" fontId="0" fillId="0" borderId="4" xfId="0" applyBorder="1" applyAlignment="1">
      <alignment horizontal="center" vertical="center"/>
    </xf>
    <xf numFmtId="176" fontId="10" fillId="3" borderId="6" xfId="2" applyNumberFormat="1" applyFont="1" applyBorder="1" applyAlignment="1"/>
    <xf numFmtId="0" fontId="0" fillId="4" borderId="3" xfId="0" applyFill="1" applyBorder="1" applyAlignment="1">
      <alignment vertical="center"/>
    </xf>
    <xf numFmtId="177" fontId="0" fillId="0" borderId="0" xfId="0" applyNumberFormat="1"/>
    <xf numFmtId="0" fontId="0" fillId="0" borderId="3" xfId="0" applyBorder="1" applyAlignment="1">
      <alignment horizontal="center"/>
    </xf>
    <xf numFmtId="0" fontId="13" fillId="0" borderId="3" xfId="0" applyFont="1" applyBorder="1"/>
    <xf numFmtId="0" fontId="0" fillId="0" borderId="7" xfId="0" applyBorder="1"/>
    <xf numFmtId="0" fontId="0" fillId="0" borderId="7" xfId="0" applyBorder="1" applyAlignment="1">
      <alignment horizontal="center" vertical="center"/>
    </xf>
    <xf numFmtId="2" fontId="3" fillId="3" borderId="7" xfId="3" applyNumberFormat="1" applyBorder="1" applyAlignment="1"/>
    <xf numFmtId="0" fontId="11" fillId="0" borderId="8" xfId="0" applyFont="1" applyBorder="1"/>
    <xf numFmtId="0" fontId="11" fillId="0" borderId="9" xfId="0" applyFont="1" applyBorder="1" applyAlignment="1">
      <alignment horizontal="center" vertical="center"/>
    </xf>
    <xf numFmtId="0" fontId="11" fillId="0" borderId="9" xfId="0" applyFont="1" applyBorder="1"/>
    <xf numFmtId="0" fontId="11" fillId="0" borderId="10" xfId="0" applyFont="1" applyBorder="1"/>
    <xf numFmtId="182" fontId="0" fillId="0" borderId="0" xfId="0" applyNumberFormat="1"/>
    <xf numFmtId="183" fontId="0" fillId="0" borderId="0" xfId="0" applyNumberFormat="1"/>
    <xf numFmtId="181" fontId="8" fillId="3" borderId="3" xfId="3" applyNumberFormat="1" applyFont="1" applyBorder="1" applyAlignment="1"/>
    <xf numFmtId="179" fontId="12" fillId="3" borderId="9" xfId="3" applyNumberFormat="1" applyFont="1" applyBorder="1" applyAlignment="1"/>
    <xf numFmtId="176" fontId="3" fillId="3" borderId="3" xfId="3" applyNumberFormat="1" applyBorder="1" applyAlignment="1"/>
    <xf numFmtId="0" fontId="11" fillId="0" borderId="0" xfId="0" applyFont="1"/>
    <xf numFmtId="0" fontId="0" fillId="6" borderId="11" xfId="0" applyFill="1" applyBorder="1" applyAlignment="1">
      <alignment horizontal="centerContinuous" vertical="center"/>
    </xf>
    <xf numFmtId="0" fontId="0" fillId="6" borderId="12" xfId="0" applyFill="1" applyBorder="1" applyAlignment="1">
      <alignment horizontal="centerContinuous" vertical="center"/>
    </xf>
    <xf numFmtId="0" fontId="0" fillId="6" borderId="11" xfId="0" applyFill="1" applyBorder="1" applyAlignment="1">
      <alignment horizontal="centerContinuous"/>
    </xf>
    <xf numFmtId="0" fontId="0" fillId="6" borderId="12" xfId="0" applyFill="1" applyBorder="1" applyAlignment="1">
      <alignment horizontal="centerContinuous"/>
    </xf>
    <xf numFmtId="0" fontId="0" fillId="6" borderId="11" xfId="0" applyFill="1" applyBorder="1"/>
    <xf numFmtId="0" fontId="0" fillId="0" borderId="12" xfId="0" applyBorder="1" applyAlignment="1">
      <alignment horizontal="centerContinuous"/>
    </xf>
    <xf numFmtId="0" fontId="0" fillId="0" borderId="12" xfId="0" applyBorder="1"/>
    <xf numFmtId="176" fontId="14" fillId="5" borderId="3" xfId="0" applyNumberFormat="1" applyFont="1" applyFill="1" applyBorder="1"/>
    <xf numFmtId="176" fontId="14" fillId="5" borderId="3" xfId="3" applyNumberFormat="1" applyFont="1" applyFill="1" applyBorder="1" applyAlignment="1"/>
    <xf numFmtId="180" fontId="11" fillId="5" borderId="3" xfId="4" applyNumberFormat="1" applyFont="1" applyFill="1" applyBorder="1" applyAlignment="1"/>
  </cellXfs>
  <cellStyles count="5">
    <cellStyle name="計算" xfId="3" builtinId="22"/>
    <cellStyle name="桁区切り" xfId="4" builtinId="6"/>
    <cellStyle name="出力" xfId="2" builtinId="21"/>
    <cellStyle name="入力" xfId="1" builtinId="20"/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6</xdr:row>
      <xdr:rowOff>9994</xdr:rowOff>
    </xdr:from>
    <xdr:to>
      <xdr:col>19</xdr:col>
      <xdr:colOff>432955</xdr:colOff>
      <xdr:row>17</xdr:row>
      <xdr:rowOff>22449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2885921A-A1D5-4C2C-BD72-4C9F895F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68853" y="1511582"/>
          <a:ext cx="6584984" cy="275789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10</xdr:col>
      <xdr:colOff>0</xdr:colOff>
      <xdr:row>19</xdr:row>
      <xdr:rowOff>0</xdr:rowOff>
    </xdr:from>
    <xdr:to>
      <xdr:col>20</xdr:col>
      <xdr:colOff>3895</xdr:colOff>
      <xdr:row>47</xdr:row>
      <xdr:rowOff>119903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C012BC79-CAFA-5179-ED56-07581245E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8853" y="4717676"/>
          <a:ext cx="6839483" cy="6813177"/>
        </a:xfrm>
        <a:prstGeom prst="rect">
          <a:avLst/>
        </a:prstGeom>
      </xdr:spPr>
    </xdr:pic>
    <xdr:clientData/>
  </xdr:twoCellAnchor>
  <xdr:twoCellAnchor editAs="oneCell">
    <xdr:from>
      <xdr:col>10</xdr:col>
      <xdr:colOff>1</xdr:colOff>
      <xdr:row>47</xdr:row>
      <xdr:rowOff>168089</xdr:rowOff>
    </xdr:from>
    <xdr:to>
      <xdr:col>20</xdr:col>
      <xdr:colOff>1</xdr:colOff>
      <xdr:row>70</xdr:row>
      <xdr:rowOff>197828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75727A2-D796-F6BA-83D8-80C2A8B48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68854" y="11598089"/>
          <a:ext cx="6835588" cy="54421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6</xdr:row>
      <xdr:rowOff>9994</xdr:rowOff>
    </xdr:from>
    <xdr:to>
      <xdr:col>19</xdr:col>
      <xdr:colOff>432955</xdr:colOff>
      <xdr:row>17</xdr:row>
      <xdr:rowOff>22449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6F50012-54F5-4F3D-A4E5-C92C5868B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58500" y="1514944"/>
          <a:ext cx="6605155" cy="2765180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10</xdr:col>
      <xdr:colOff>0</xdr:colOff>
      <xdr:row>19</xdr:row>
      <xdr:rowOff>0</xdr:rowOff>
    </xdr:from>
    <xdr:to>
      <xdr:col>20</xdr:col>
      <xdr:colOff>3895</xdr:colOff>
      <xdr:row>47</xdr:row>
      <xdr:rowOff>119903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C6D6E1AD-51F9-4236-B8C1-55024E210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0" y="4733925"/>
          <a:ext cx="6861895" cy="6873128"/>
        </a:xfrm>
        <a:prstGeom prst="rect">
          <a:avLst/>
        </a:prstGeom>
      </xdr:spPr>
    </xdr:pic>
    <xdr:clientData/>
  </xdr:twoCellAnchor>
  <xdr:twoCellAnchor editAs="oneCell">
    <xdr:from>
      <xdr:col>10</xdr:col>
      <xdr:colOff>1</xdr:colOff>
      <xdr:row>47</xdr:row>
      <xdr:rowOff>168089</xdr:rowOff>
    </xdr:from>
    <xdr:to>
      <xdr:col>20</xdr:col>
      <xdr:colOff>1</xdr:colOff>
      <xdr:row>69</xdr:row>
      <xdr:rowOff>179294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4EC390CD-8484-4C9A-9CC8-C84254F92C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4664"/>
        <a:stretch/>
      </xdr:blipFill>
      <xdr:spPr>
        <a:xfrm>
          <a:off x="10724030" y="11575677"/>
          <a:ext cx="6835589" cy="5188323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70</xdr:row>
      <xdr:rowOff>0</xdr:rowOff>
    </xdr:from>
    <xdr:to>
      <xdr:col>19</xdr:col>
      <xdr:colOff>649941</xdr:colOff>
      <xdr:row>72</xdr:row>
      <xdr:rowOff>25330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162AB0CF-28A8-F57B-C343-25837DC6E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24029" y="16820029"/>
          <a:ext cx="6801971" cy="49597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6</xdr:row>
      <xdr:rowOff>9994</xdr:rowOff>
    </xdr:from>
    <xdr:to>
      <xdr:col>19</xdr:col>
      <xdr:colOff>432955</xdr:colOff>
      <xdr:row>17</xdr:row>
      <xdr:rowOff>22449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2DF7746B-EC0D-418C-932B-21244A515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34675" y="1514944"/>
          <a:ext cx="6605155" cy="2765180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10</xdr:col>
      <xdr:colOff>0</xdr:colOff>
      <xdr:row>19</xdr:row>
      <xdr:rowOff>0</xdr:rowOff>
    </xdr:from>
    <xdr:to>
      <xdr:col>20</xdr:col>
      <xdr:colOff>3895</xdr:colOff>
      <xdr:row>47</xdr:row>
      <xdr:rowOff>119903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EEFD271E-D986-4E52-BE2E-E0573475E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34675" y="4733925"/>
          <a:ext cx="6861895" cy="6873128"/>
        </a:xfrm>
        <a:prstGeom prst="rect">
          <a:avLst/>
        </a:prstGeom>
      </xdr:spPr>
    </xdr:pic>
    <xdr:clientData/>
  </xdr:twoCellAnchor>
  <xdr:twoCellAnchor editAs="oneCell">
    <xdr:from>
      <xdr:col>10</xdr:col>
      <xdr:colOff>1</xdr:colOff>
      <xdr:row>47</xdr:row>
      <xdr:rowOff>168089</xdr:rowOff>
    </xdr:from>
    <xdr:to>
      <xdr:col>20</xdr:col>
      <xdr:colOff>1</xdr:colOff>
      <xdr:row>69</xdr:row>
      <xdr:rowOff>179294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DB8639E8-BBC5-4D78-BB34-4574C6ABEC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4664"/>
        <a:stretch/>
      </xdr:blipFill>
      <xdr:spPr>
        <a:xfrm>
          <a:off x="10734676" y="11655239"/>
          <a:ext cx="6858000" cy="524995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70</xdr:row>
      <xdr:rowOff>44824</xdr:rowOff>
    </xdr:from>
    <xdr:to>
      <xdr:col>20</xdr:col>
      <xdr:colOff>56029</xdr:colOff>
      <xdr:row>78</xdr:row>
      <xdr:rowOff>24834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980DD3E0-BA42-6170-3EE7-C0535EA90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35235" y="16864853"/>
          <a:ext cx="6891618" cy="18625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8E0C1-D2FC-47F0-B923-40AAB6B051A4}">
  <sheetPr codeName="Sheet3"/>
  <dimension ref="B1:S81"/>
  <sheetViews>
    <sheetView zoomScale="70" zoomScaleNormal="70" workbookViewId="0">
      <selection activeCell="B1" sqref="B1"/>
    </sheetView>
  </sheetViews>
  <sheetFormatPr defaultRowHeight="18.75"/>
  <cols>
    <col min="2" max="2" width="27.5" customWidth="1"/>
    <col min="3" max="3" width="6.875" bestFit="1" customWidth="1"/>
    <col min="4" max="4" width="10.25" customWidth="1"/>
    <col min="6" max="6" width="43.875" customWidth="1"/>
  </cols>
  <sheetData>
    <row r="1" spans="2:12">
      <c r="B1" t="s">
        <v>121</v>
      </c>
      <c r="K1" s="37" t="s">
        <v>90</v>
      </c>
    </row>
    <row r="2" spans="2:12">
      <c r="B2" s="9" t="s">
        <v>91</v>
      </c>
      <c r="C2" s="9" t="s">
        <v>5</v>
      </c>
      <c r="D2" s="9" t="s">
        <v>6</v>
      </c>
      <c r="E2" s="10" t="s">
        <v>4</v>
      </c>
      <c r="F2" s="9" t="s">
        <v>13</v>
      </c>
      <c r="K2" s="7" t="s">
        <v>8</v>
      </c>
      <c r="L2" t="s">
        <v>89</v>
      </c>
    </row>
    <row r="3" spans="2:12" ht="20.25">
      <c r="B3" s="1" t="s">
        <v>15</v>
      </c>
      <c r="C3" s="3" t="s">
        <v>19</v>
      </c>
      <c r="D3" s="16">
        <v>5</v>
      </c>
      <c r="E3" s="2" t="s">
        <v>3</v>
      </c>
      <c r="F3" s="2" t="s">
        <v>97</v>
      </c>
      <c r="K3" s="8" t="s">
        <v>9</v>
      </c>
      <c r="L3" t="s">
        <v>11</v>
      </c>
    </row>
    <row r="4" spans="2:12" ht="20.25">
      <c r="B4" s="1" t="s">
        <v>16</v>
      </c>
      <c r="C4" s="3" t="s">
        <v>20</v>
      </c>
      <c r="D4" s="16">
        <v>12</v>
      </c>
      <c r="E4" s="2" t="s">
        <v>2</v>
      </c>
      <c r="F4" s="2" t="s">
        <v>98</v>
      </c>
      <c r="K4" s="6" t="s">
        <v>10</v>
      </c>
      <c r="L4" t="s">
        <v>12</v>
      </c>
    </row>
    <row r="5" spans="2:12" ht="20.25">
      <c r="B5" s="1" t="s">
        <v>17</v>
      </c>
      <c r="C5" s="3" t="s">
        <v>21</v>
      </c>
      <c r="D5" s="16">
        <v>1</v>
      </c>
      <c r="E5" s="2" t="s">
        <v>24</v>
      </c>
      <c r="F5" s="2" t="s">
        <v>99</v>
      </c>
    </row>
    <row r="6" spans="2:12" ht="20.25">
      <c r="B6" s="1" t="s">
        <v>18</v>
      </c>
      <c r="C6" s="3" t="s">
        <v>22</v>
      </c>
      <c r="D6" s="16">
        <v>5</v>
      </c>
      <c r="E6" s="2" t="s">
        <v>23</v>
      </c>
      <c r="F6" s="2" t="s">
        <v>100</v>
      </c>
      <c r="K6" t="s">
        <v>93</v>
      </c>
    </row>
    <row r="7" spans="2:12" ht="20.25">
      <c r="B7" s="1" t="s">
        <v>0</v>
      </c>
      <c r="C7" s="3" t="s">
        <v>7</v>
      </c>
      <c r="D7" s="11">
        <v>0.2</v>
      </c>
      <c r="E7" s="2" t="s">
        <v>1</v>
      </c>
      <c r="F7" s="2" t="s">
        <v>96</v>
      </c>
    </row>
    <row r="8" spans="2:12" ht="20.25">
      <c r="B8" s="1" t="s">
        <v>25</v>
      </c>
      <c r="C8" s="3" t="s">
        <v>26</v>
      </c>
      <c r="D8" s="11">
        <v>2650</v>
      </c>
      <c r="E8" s="2" t="s">
        <v>29</v>
      </c>
      <c r="F8" s="2"/>
    </row>
    <row r="9" spans="2:12" ht="20.25">
      <c r="B9" s="1" t="s">
        <v>28</v>
      </c>
      <c r="C9" s="3" t="s">
        <v>27</v>
      </c>
      <c r="D9" s="11">
        <v>1025</v>
      </c>
      <c r="E9" s="2" t="s">
        <v>29</v>
      </c>
      <c r="F9" s="2"/>
    </row>
    <row r="10" spans="2:12">
      <c r="B10" s="1" t="s">
        <v>36</v>
      </c>
      <c r="C10" s="3" t="s">
        <v>37</v>
      </c>
      <c r="D10" s="11">
        <v>0.4</v>
      </c>
      <c r="E10" s="2" t="s">
        <v>24</v>
      </c>
      <c r="F10" s="2" t="s">
        <v>101</v>
      </c>
    </row>
    <row r="12" spans="2:12">
      <c r="B12" s="21" t="s">
        <v>92</v>
      </c>
      <c r="C12" s="9" t="s">
        <v>62</v>
      </c>
      <c r="D12" s="9" t="s">
        <v>63</v>
      </c>
      <c r="E12" s="9" t="s">
        <v>64</v>
      </c>
      <c r="F12" s="9" t="s">
        <v>65</v>
      </c>
    </row>
    <row r="13" spans="2:12" ht="20.25">
      <c r="B13" s="4" t="s">
        <v>31</v>
      </c>
      <c r="C13" s="19" t="s">
        <v>30</v>
      </c>
      <c r="D13" s="20" cm="1">
        <f t="array" ref="D13">Ws_Rubey(D7,D8,D9)</f>
        <v>2.4511876829248453E-2</v>
      </c>
      <c r="E13" s="5" t="s">
        <v>32</v>
      </c>
      <c r="F13" s="5" t="s">
        <v>78</v>
      </c>
    </row>
    <row r="14" spans="2:12" ht="20.25">
      <c r="B14" s="1" t="s">
        <v>33</v>
      </c>
      <c r="C14" s="3" t="s">
        <v>34</v>
      </c>
      <c r="D14" s="34" cm="1">
        <f t="array" ref="D14">Morph_Kriebel_A(D13)</f>
        <v>8.8720681670510573E-2</v>
      </c>
      <c r="E14" s="2" t="s">
        <v>35</v>
      </c>
      <c r="F14" s="2" t="s">
        <v>56</v>
      </c>
      <c r="H14" s="33"/>
      <c r="I14" s="32"/>
    </row>
    <row r="15" spans="2:12" ht="20.25">
      <c r="B15" s="2" t="s">
        <v>38</v>
      </c>
      <c r="C15" s="3" t="s">
        <v>39</v>
      </c>
      <c r="D15" s="17" cm="1">
        <f t="array" ref="D15">ClosureDepth_Hallermeier(D3,D4)</f>
        <v>10.186493764172335</v>
      </c>
      <c r="E15" s="2" t="s">
        <v>24</v>
      </c>
      <c r="F15" s="2" t="s">
        <v>75</v>
      </c>
      <c r="H15" s="32"/>
      <c r="I15" s="32"/>
    </row>
    <row r="16" spans="2:12" ht="20.25">
      <c r="B16" s="2" t="s">
        <v>40</v>
      </c>
      <c r="C16" s="3" t="s">
        <v>41</v>
      </c>
      <c r="D16" s="18">
        <f>(ROUND(D15,2)/ROUND(D14,3))^(3/2)</f>
        <v>1225.1133321336415</v>
      </c>
      <c r="E16" s="2" t="s">
        <v>24</v>
      </c>
      <c r="F16" s="2" t="s">
        <v>57</v>
      </c>
    </row>
    <row r="17" spans="2:11">
      <c r="B17" s="2" t="s">
        <v>51</v>
      </c>
      <c r="C17" s="3" t="s">
        <v>52</v>
      </c>
      <c r="D17" s="15">
        <f>D5/(9.8*D6^2/2/PI())</f>
        <v>2.5645654315018716E-2</v>
      </c>
      <c r="E17" s="2" t="s">
        <v>53</v>
      </c>
      <c r="F17" s="2" t="s">
        <v>102</v>
      </c>
    </row>
    <row r="18" spans="2:11">
      <c r="B18" s="1" t="s">
        <v>14</v>
      </c>
      <c r="C18" s="3" t="s">
        <v>44</v>
      </c>
      <c r="D18" s="13">
        <f>0.25*($D$7*0.001/$D$5)^0.25*$D$17^(-0.15)</f>
        <v>5.1504531373219545E-2</v>
      </c>
      <c r="E18" s="14">
        <f>1/D18</f>
        <v>19.415767376925658</v>
      </c>
      <c r="F18" s="2" t="s">
        <v>58</v>
      </c>
      <c r="K18" t="s">
        <v>86</v>
      </c>
    </row>
    <row r="19" spans="2:11">
      <c r="B19" s="1" t="s">
        <v>45</v>
      </c>
      <c r="C19" s="3" t="s">
        <v>46</v>
      </c>
      <c r="D19" s="12">
        <f>D18^0.2*(D5/(1.56*D6^2))^(-0.25)*D5</f>
        <v>1.380814184637255</v>
      </c>
      <c r="E19" s="2" t="s">
        <v>24</v>
      </c>
      <c r="F19" s="2" t="s">
        <v>59</v>
      </c>
    </row>
    <row r="20" spans="2:11" ht="19.5" thickBot="1">
      <c r="B20" s="25" t="s">
        <v>47</v>
      </c>
      <c r="C20" s="26" t="s">
        <v>42</v>
      </c>
      <c r="D20" s="27">
        <f>0.125*D19^(5/8)*(9.8*D6^2)^(3/8)</f>
        <v>1.2034604419926591</v>
      </c>
      <c r="E20" s="25" t="s">
        <v>24</v>
      </c>
      <c r="F20" s="25" t="s">
        <v>60</v>
      </c>
    </row>
    <row r="21" spans="2:11" ht="19.5" thickBot="1">
      <c r="B21" s="28" t="s">
        <v>43</v>
      </c>
      <c r="C21" s="29" t="s">
        <v>48</v>
      </c>
      <c r="D21" s="35">
        <f>D10/(D15+D20)*D16</f>
        <v>43.024346189926888</v>
      </c>
      <c r="E21" s="30" t="s">
        <v>24</v>
      </c>
      <c r="F21" s="31" t="s">
        <v>61</v>
      </c>
    </row>
    <row r="25" spans="2:11">
      <c r="B25" t="s">
        <v>94</v>
      </c>
    </row>
    <row r="26" spans="2:11" ht="20.25">
      <c r="B26" s="2" t="s">
        <v>72</v>
      </c>
      <c r="C26" s="23" t="s">
        <v>73</v>
      </c>
      <c r="D26" s="45">
        <f>(D15+D20)/D16</f>
        <v>9.2970616737378872E-3</v>
      </c>
      <c r="E26" s="14">
        <f>1/D26</f>
        <v>107.56086547481723</v>
      </c>
      <c r="F26" s="2" t="s">
        <v>82</v>
      </c>
    </row>
    <row r="27" spans="2:11" ht="19.5" customHeight="1">
      <c r="B27" s="2" t="s">
        <v>74</v>
      </c>
      <c r="C27" s="23" t="s">
        <v>54</v>
      </c>
      <c r="D27" s="45">
        <f>0.5*(D13/9.8/D6)/(D17)</f>
        <v>9.7529659045864654E-3</v>
      </c>
      <c r="E27" s="14">
        <f>1/D27</f>
        <v>102.53291252968867</v>
      </c>
      <c r="F27" s="2" t="s">
        <v>83</v>
      </c>
    </row>
    <row r="28" spans="2:11">
      <c r="B28" s="2" t="s">
        <v>80</v>
      </c>
      <c r="C28" s="23" t="s">
        <v>55</v>
      </c>
      <c r="D28" s="45">
        <f>0.12/(D19/9.8^0.5/(D7*0.001)^0.5/D6)^0.5</f>
        <v>4.8046598426281499E-2</v>
      </c>
      <c r="E28" s="14">
        <f>1/D28</f>
        <v>20.813127937335931</v>
      </c>
      <c r="F28" s="2" t="s">
        <v>67</v>
      </c>
    </row>
    <row r="29" spans="2:11">
      <c r="B29" s="2" t="s">
        <v>79</v>
      </c>
      <c r="C29" s="23" t="s">
        <v>49</v>
      </c>
      <c r="D29" s="45">
        <f>0.25*($D$7*0.001/$D$5)^0.25*$D$17^(-0.15)</f>
        <v>5.1504531373219545E-2</v>
      </c>
      <c r="E29" s="14">
        <f>1/D29</f>
        <v>19.415767376925658</v>
      </c>
      <c r="F29" s="2" t="s">
        <v>50</v>
      </c>
      <c r="H29" s="22"/>
    </row>
    <row r="30" spans="2:11">
      <c r="B30" s="2" t="s">
        <v>66</v>
      </c>
      <c r="C30" s="23" t="s">
        <v>55</v>
      </c>
      <c r="D30" s="45">
        <f>(0.12*D17^(0.125)*(D5/9.8^0.5/(D7*0.001)^0.5/D6)^(-0.5))^(1/1.1)</f>
        <v>4.8352111550218971E-2</v>
      </c>
      <c r="E30" s="14">
        <f>1/D30</f>
        <v>20.681620056269733</v>
      </c>
      <c r="F30" s="2" t="s">
        <v>84</v>
      </c>
      <c r="H30" s="22"/>
    </row>
    <row r="31" spans="2:11">
      <c r="B31" s="24" t="s">
        <v>70</v>
      </c>
      <c r="C31" s="23" t="s">
        <v>55</v>
      </c>
      <c r="D31" s="45">
        <f>0.45*(D7*0.001/D5)^0.5*D17^(-0.3)</f>
        <v>1.9099560614219691E-2</v>
      </c>
      <c r="E31" s="14">
        <f>1/D31</f>
        <v>52.357225393734787</v>
      </c>
      <c r="F31" s="2" t="s">
        <v>71</v>
      </c>
      <c r="H31" s="22"/>
    </row>
    <row r="32" spans="2:11">
      <c r="B32" s="24" t="s">
        <v>69</v>
      </c>
      <c r="C32" s="23" t="s">
        <v>55</v>
      </c>
      <c r="D32" s="45">
        <f>0.15*(D5/(D13*D6))^(-0.5)</f>
        <v>5.2512723632377432E-2</v>
      </c>
      <c r="E32" s="14">
        <f>1/D32</f>
        <v>19.043003882271236</v>
      </c>
      <c r="F32" s="2" t="s">
        <v>85</v>
      </c>
    </row>
    <row r="33" spans="2:6" ht="20.25">
      <c r="B33" s="1" t="s">
        <v>76</v>
      </c>
      <c r="C33" s="3" t="s">
        <v>34</v>
      </c>
      <c r="D33" s="46">
        <f>0.067*(D13*100)^0.44</f>
        <v>9.940322886342387E-2</v>
      </c>
      <c r="E33" s="2" t="s">
        <v>35</v>
      </c>
      <c r="F33" s="2" t="s">
        <v>87</v>
      </c>
    </row>
    <row r="34" spans="2:6" ht="20.25">
      <c r="B34" s="2" t="s">
        <v>77</v>
      </c>
      <c r="C34" s="23" t="s">
        <v>68</v>
      </c>
      <c r="D34" s="47" cm="1">
        <f t="array" ref="D34">Morph_Kriebel_A(D13)</f>
        <v>8.8720681670510573E-2</v>
      </c>
      <c r="E34" s="2" t="s">
        <v>35</v>
      </c>
      <c r="F34" s="2" t="s">
        <v>88</v>
      </c>
    </row>
    <row r="35" spans="2:6">
      <c r="B35" t="s">
        <v>95</v>
      </c>
    </row>
    <row r="73" spans="11:19">
      <c r="K73" t="s">
        <v>103</v>
      </c>
    </row>
    <row r="74" spans="11:19">
      <c r="L74" s="38" t="s">
        <v>104</v>
      </c>
      <c r="M74" s="39"/>
      <c r="N74" s="40" t="s">
        <v>105</v>
      </c>
      <c r="O74" s="40"/>
      <c r="P74" s="43"/>
      <c r="Q74" s="40" t="s">
        <v>106</v>
      </c>
      <c r="R74" s="40"/>
    </row>
    <row r="75" spans="11:19" ht="20.25">
      <c r="L75" s="40" t="s">
        <v>110</v>
      </c>
      <c r="M75" s="41"/>
      <c r="N75" s="42" t="s">
        <v>111</v>
      </c>
      <c r="O75" s="42"/>
      <c r="P75" s="44"/>
      <c r="Q75" s="42" t="s">
        <v>112</v>
      </c>
      <c r="R75" s="42"/>
      <c r="S75" t="s">
        <v>115</v>
      </c>
    </row>
    <row r="76" spans="11:19" ht="20.25">
      <c r="L76" s="40" t="s">
        <v>119</v>
      </c>
      <c r="M76" s="41"/>
      <c r="N76" s="42" t="s">
        <v>113</v>
      </c>
      <c r="O76" s="42"/>
      <c r="P76" s="44"/>
      <c r="Q76" s="42" t="s">
        <v>114</v>
      </c>
      <c r="R76" s="42"/>
      <c r="S76" t="s">
        <v>56</v>
      </c>
    </row>
    <row r="77" spans="11:19">
      <c r="L77" s="40" t="s">
        <v>120</v>
      </c>
      <c r="M77" s="41"/>
      <c r="N77" s="42" t="s">
        <v>116</v>
      </c>
      <c r="O77" s="42"/>
      <c r="P77" s="44"/>
      <c r="Q77" s="42" t="s">
        <v>118</v>
      </c>
      <c r="R77" s="42"/>
      <c r="S77" t="s">
        <v>117</v>
      </c>
    </row>
    <row r="79" spans="11:19">
      <c r="K79" t="s">
        <v>107</v>
      </c>
    </row>
    <row r="80" spans="11:19">
      <c r="K80" t="s">
        <v>108</v>
      </c>
    </row>
    <row r="81" spans="11:11">
      <c r="K81" t="s">
        <v>109</v>
      </c>
    </row>
  </sheetData>
  <phoneticPr fontId="4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43339-1FC0-4ED1-A5DC-A7D1D18D0E65}">
  <sheetPr codeName="Sheet4"/>
  <dimension ref="B1:S82"/>
  <sheetViews>
    <sheetView zoomScale="70" zoomScaleNormal="70" workbookViewId="0">
      <selection activeCell="K1" sqref="K1"/>
    </sheetView>
  </sheetViews>
  <sheetFormatPr defaultRowHeight="18.75"/>
  <cols>
    <col min="2" max="2" width="27.5" customWidth="1"/>
    <col min="3" max="3" width="6.875" bestFit="1" customWidth="1"/>
    <col min="4" max="4" width="10.25" customWidth="1"/>
    <col min="6" max="6" width="42.25" customWidth="1"/>
  </cols>
  <sheetData>
    <row r="1" spans="2:12">
      <c r="B1" t="s">
        <v>122</v>
      </c>
      <c r="K1" s="37" t="s">
        <v>90</v>
      </c>
    </row>
    <row r="2" spans="2:12">
      <c r="B2" s="9" t="s">
        <v>91</v>
      </c>
      <c r="C2" s="9" t="s">
        <v>5</v>
      </c>
      <c r="D2" s="9" t="s">
        <v>6</v>
      </c>
      <c r="E2" s="10" t="s">
        <v>4</v>
      </c>
      <c r="F2" s="9" t="s">
        <v>13</v>
      </c>
      <c r="K2" s="7" t="s">
        <v>8</v>
      </c>
      <c r="L2" t="s">
        <v>89</v>
      </c>
    </row>
    <row r="3" spans="2:12" ht="20.25">
      <c r="B3" s="1" t="s">
        <v>15</v>
      </c>
      <c r="C3" s="3" t="s">
        <v>19</v>
      </c>
      <c r="D3" s="16">
        <v>5</v>
      </c>
      <c r="E3" s="2" t="s">
        <v>3</v>
      </c>
      <c r="F3" s="2" t="s">
        <v>97</v>
      </c>
      <c r="K3" s="8" t="s">
        <v>9</v>
      </c>
      <c r="L3" t="s">
        <v>11</v>
      </c>
    </row>
    <row r="4" spans="2:12" ht="20.25">
      <c r="B4" s="1" t="s">
        <v>16</v>
      </c>
      <c r="C4" s="3" t="s">
        <v>20</v>
      </c>
      <c r="D4" s="16">
        <v>12</v>
      </c>
      <c r="E4" s="2" t="s">
        <v>2</v>
      </c>
      <c r="F4" s="2" t="s">
        <v>98</v>
      </c>
      <c r="K4" s="6" t="s">
        <v>10</v>
      </c>
      <c r="L4" t="s">
        <v>12</v>
      </c>
    </row>
    <row r="5" spans="2:12" ht="20.25">
      <c r="B5" s="1" t="s">
        <v>17</v>
      </c>
      <c r="C5" s="3" t="s">
        <v>21</v>
      </c>
      <c r="D5" s="16">
        <v>1</v>
      </c>
      <c r="E5" s="2" t="s">
        <v>3</v>
      </c>
      <c r="F5" s="2" t="s">
        <v>99</v>
      </c>
    </row>
    <row r="6" spans="2:12" ht="20.25">
      <c r="B6" s="1" t="s">
        <v>18</v>
      </c>
      <c r="C6" s="3" t="s">
        <v>22</v>
      </c>
      <c r="D6" s="16">
        <v>5</v>
      </c>
      <c r="E6" s="2" t="s">
        <v>2</v>
      </c>
      <c r="F6" s="2" t="s">
        <v>100</v>
      </c>
      <c r="K6" t="s">
        <v>93</v>
      </c>
    </row>
    <row r="7" spans="2:12" ht="20.25">
      <c r="B7" s="1" t="s">
        <v>0</v>
      </c>
      <c r="C7" s="3" t="s">
        <v>7</v>
      </c>
      <c r="D7" s="11">
        <v>0.2</v>
      </c>
      <c r="E7" s="2" t="s">
        <v>1</v>
      </c>
      <c r="F7" s="2" t="s">
        <v>96</v>
      </c>
    </row>
    <row r="8" spans="2:12" ht="20.25">
      <c r="B8" s="1" t="s">
        <v>25</v>
      </c>
      <c r="C8" s="3" t="s">
        <v>26</v>
      </c>
      <c r="D8" s="11">
        <v>2650</v>
      </c>
      <c r="E8" s="2" t="s">
        <v>29</v>
      </c>
      <c r="F8" s="2"/>
    </row>
    <row r="9" spans="2:12" ht="20.25">
      <c r="B9" s="1" t="s">
        <v>28</v>
      </c>
      <c r="C9" s="3" t="s">
        <v>27</v>
      </c>
      <c r="D9" s="11">
        <v>1025</v>
      </c>
      <c r="E9" s="2" t="s">
        <v>29</v>
      </c>
      <c r="F9" s="2"/>
    </row>
    <row r="10" spans="2:12">
      <c r="B10" s="1" t="s">
        <v>36</v>
      </c>
      <c r="C10" s="3" t="s">
        <v>37</v>
      </c>
      <c r="D10" s="11">
        <v>0.8</v>
      </c>
      <c r="E10" s="2" t="s">
        <v>3</v>
      </c>
      <c r="F10" s="2" t="s">
        <v>101</v>
      </c>
    </row>
    <row r="12" spans="2:12">
      <c r="B12" s="21" t="s">
        <v>92</v>
      </c>
      <c r="C12" s="9" t="s">
        <v>5</v>
      </c>
      <c r="D12" s="9" t="s">
        <v>63</v>
      </c>
      <c r="E12" s="9" t="s">
        <v>4</v>
      </c>
      <c r="F12" s="9" t="s">
        <v>13</v>
      </c>
    </row>
    <row r="13" spans="2:12" ht="20.25">
      <c r="B13" s="4" t="s">
        <v>31</v>
      </c>
      <c r="C13" s="19" t="s">
        <v>30</v>
      </c>
      <c r="D13" s="20" cm="1">
        <f t="array" ref="D13">Ws_Rubey(D7,D8,D9)</f>
        <v>2.4511876829248453E-2</v>
      </c>
      <c r="E13" s="5" t="s">
        <v>32</v>
      </c>
      <c r="F13" s="5" t="s">
        <v>78</v>
      </c>
    </row>
    <row r="14" spans="2:12" ht="20.25">
      <c r="B14" s="1" t="s">
        <v>33</v>
      </c>
      <c r="C14" s="3" t="s">
        <v>34</v>
      </c>
      <c r="D14" s="34" cm="1">
        <f t="array" ref="D14">Morph_Kriebel_A(D13)</f>
        <v>8.8720681670510573E-2</v>
      </c>
      <c r="E14" s="2" t="s">
        <v>35</v>
      </c>
      <c r="F14" s="2" t="s">
        <v>56</v>
      </c>
    </row>
    <row r="15" spans="2:12" ht="20.25">
      <c r="B15" s="2" t="s">
        <v>38</v>
      </c>
      <c r="C15" s="3" t="s">
        <v>39</v>
      </c>
      <c r="D15" s="17" cm="1">
        <f t="array" ref="D15">ClosureDepth_Hallermeier(D3,D4)</f>
        <v>10.186493764172335</v>
      </c>
      <c r="E15" s="2" t="s">
        <v>3</v>
      </c>
      <c r="F15" s="2" t="s">
        <v>75</v>
      </c>
    </row>
    <row r="16" spans="2:12" ht="20.25">
      <c r="B16" s="2" t="s">
        <v>40</v>
      </c>
      <c r="C16" s="3" t="s">
        <v>41</v>
      </c>
      <c r="D16" s="18">
        <f>(ROUND(D15,2)/ROUND(D14,3))^(3/2)</f>
        <v>1225.1133321336415</v>
      </c>
      <c r="E16" s="2" t="s">
        <v>3</v>
      </c>
      <c r="F16" s="2" t="s">
        <v>57</v>
      </c>
    </row>
    <row r="17" spans="2:11">
      <c r="B17" s="2" t="s">
        <v>51</v>
      </c>
      <c r="C17" s="3" t="s">
        <v>52</v>
      </c>
      <c r="D17" s="15">
        <f>D5/(9.8*D6^2/2/PI())</f>
        <v>2.5645654315018716E-2</v>
      </c>
      <c r="E17" s="2" t="s">
        <v>53</v>
      </c>
      <c r="F17" s="2" t="s">
        <v>81</v>
      </c>
    </row>
    <row r="18" spans="2:11">
      <c r="B18" s="1" t="s">
        <v>14</v>
      </c>
      <c r="C18" s="3" t="s">
        <v>44</v>
      </c>
      <c r="D18" s="13">
        <f>0.25*($D$7*0.001/$D$5)^0.25*$D$17^(-0.15)</f>
        <v>5.1504531373219545E-2</v>
      </c>
      <c r="E18" s="14">
        <f>1/D18</f>
        <v>19.415767376925658</v>
      </c>
      <c r="F18" s="2" t="s">
        <v>58</v>
      </c>
      <c r="K18" t="s">
        <v>86</v>
      </c>
    </row>
    <row r="19" spans="2:11">
      <c r="B19" s="1" t="s">
        <v>45</v>
      </c>
      <c r="C19" s="3" t="s">
        <v>46</v>
      </c>
      <c r="D19" s="12">
        <f>D18^0.2*(D5/(1.56*D6^2))^(-0.25)*D5</f>
        <v>1.380814184637255</v>
      </c>
      <c r="E19" s="2" t="s">
        <v>3</v>
      </c>
      <c r="F19" s="2" t="s">
        <v>59</v>
      </c>
    </row>
    <row r="20" spans="2:11" ht="19.5" thickBot="1">
      <c r="B20" s="25" t="s">
        <v>47</v>
      </c>
      <c r="C20" s="26" t="s">
        <v>42</v>
      </c>
      <c r="D20" s="27">
        <f>0.125*D19^(5/8)*(9.8*D6^2)^(3/8)</f>
        <v>1.2034604419926591</v>
      </c>
      <c r="E20" s="25" t="s">
        <v>3</v>
      </c>
      <c r="F20" s="25" t="s">
        <v>60</v>
      </c>
    </row>
    <row r="21" spans="2:11" ht="19.5" thickBot="1">
      <c r="B21" s="28" t="s">
        <v>43</v>
      </c>
      <c r="C21" s="29" t="s">
        <v>48</v>
      </c>
      <c r="D21" s="35">
        <f>D10/(D15+D20)*D16</f>
        <v>86.048692379853776</v>
      </c>
      <c r="E21" s="30" t="s">
        <v>3</v>
      </c>
      <c r="F21" s="31" t="s">
        <v>61</v>
      </c>
    </row>
    <row r="25" spans="2:11">
      <c r="B25" t="s">
        <v>94</v>
      </c>
    </row>
    <row r="26" spans="2:11" ht="20.25">
      <c r="B26" s="2" t="s">
        <v>72</v>
      </c>
      <c r="C26" s="23" t="s">
        <v>54</v>
      </c>
      <c r="D26" s="45">
        <f>(D15+D20)/D16</f>
        <v>9.2970616737378872E-3</v>
      </c>
      <c r="E26" s="14">
        <f>1/D26</f>
        <v>107.56086547481723</v>
      </c>
      <c r="F26" s="2" t="s">
        <v>82</v>
      </c>
    </row>
    <row r="27" spans="2:11" ht="19.5" customHeight="1">
      <c r="B27" s="2" t="s">
        <v>74</v>
      </c>
      <c r="C27" s="23" t="s">
        <v>54</v>
      </c>
      <c r="D27" s="45">
        <f>0.5*(D13/9.8/D6)/(D17)</f>
        <v>9.7529659045864654E-3</v>
      </c>
      <c r="E27" s="14">
        <f>1/D27</f>
        <v>102.53291252968867</v>
      </c>
      <c r="F27" s="2" t="s">
        <v>83</v>
      </c>
    </row>
    <row r="28" spans="2:11">
      <c r="B28" s="2" t="s">
        <v>80</v>
      </c>
      <c r="C28" s="23" t="s">
        <v>44</v>
      </c>
      <c r="D28" s="45">
        <f>0.12/(D19/9.8^0.5/(D7*0.001)^0.5/D6)^0.5</f>
        <v>4.8046598426281499E-2</v>
      </c>
      <c r="E28" s="14">
        <f>1/D28</f>
        <v>20.813127937335931</v>
      </c>
      <c r="F28" s="2" t="s">
        <v>67</v>
      </c>
    </row>
    <row r="29" spans="2:11">
      <c r="B29" s="2" t="s">
        <v>79</v>
      </c>
      <c r="C29" s="23" t="s">
        <v>44</v>
      </c>
      <c r="D29" s="45">
        <f>0.25*($D$7*0.001/$D$5)^0.25*$D$17^(-0.15)</f>
        <v>5.1504531373219545E-2</v>
      </c>
      <c r="E29" s="14">
        <f>1/D29</f>
        <v>19.415767376925658</v>
      </c>
      <c r="F29" s="2" t="s">
        <v>50</v>
      </c>
      <c r="H29" s="22"/>
    </row>
    <row r="30" spans="2:11">
      <c r="B30" s="2" t="s">
        <v>66</v>
      </c>
      <c r="C30" s="23" t="s">
        <v>44</v>
      </c>
      <c r="D30" s="45">
        <f>(0.12*D17^(0.125)*(D5/9.8^0.5/(D7*0.001)^0.5/D6)^(-0.5))^(1/1.1)</f>
        <v>4.8352111550218971E-2</v>
      </c>
      <c r="E30" s="14">
        <f>1/D30</f>
        <v>20.681620056269733</v>
      </c>
      <c r="F30" s="2" t="s">
        <v>84</v>
      </c>
      <c r="H30" s="22"/>
    </row>
    <row r="31" spans="2:11">
      <c r="B31" s="24" t="s">
        <v>70</v>
      </c>
      <c r="C31" s="23" t="s">
        <v>44</v>
      </c>
      <c r="D31" s="45">
        <f>0.45*(D7*0.001/D5)^0.5*D17^(-0.3)</f>
        <v>1.9099560614219691E-2</v>
      </c>
      <c r="E31" s="14">
        <f>1/D31</f>
        <v>52.357225393734787</v>
      </c>
      <c r="F31" s="2" t="s">
        <v>71</v>
      </c>
      <c r="H31" s="22"/>
    </row>
    <row r="32" spans="2:11">
      <c r="B32" s="24" t="s">
        <v>69</v>
      </c>
      <c r="C32" s="23" t="s">
        <v>44</v>
      </c>
      <c r="D32" s="45">
        <f>0.15*(D5/(D13*D6))^(-0.5)</f>
        <v>5.2512723632377432E-2</v>
      </c>
      <c r="E32" s="14">
        <f>1/D32</f>
        <v>19.043003882271236</v>
      </c>
      <c r="F32" s="2" t="s">
        <v>85</v>
      </c>
    </row>
    <row r="33" spans="2:6" ht="20.25">
      <c r="B33" s="1" t="s">
        <v>76</v>
      </c>
      <c r="C33" s="3" t="s">
        <v>34</v>
      </c>
      <c r="D33" s="46">
        <f>0.067*(D13*100)^0.44</f>
        <v>9.940322886342387E-2</v>
      </c>
      <c r="E33" s="2" t="s">
        <v>35</v>
      </c>
      <c r="F33" s="2" t="s">
        <v>87</v>
      </c>
    </row>
    <row r="34" spans="2:6" ht="20.25">
      <c r="B34" s="2" t="s">
        <v>77</v>
      </c>
      <c r="C34" s="23" t="s">
        <v>34</v>
      </c>
      <c r="D34" s="47" cm="1">
        <f t="array" ref="D34">Morph_Kriebel_A(D13)</f>
        <v>8.8720681670510573E-2</v>
      </c>
      <c r="E34" s="2" t="s">
        <v>35</v>
      </c>
      <c r="F34" s="2" t="s">
        <v>88</v>
      </c>
    </row>
    <row r="35" spans="2:6">
      <c r="B35" t="s">
        <v>95</v>
      </c>
    </row>
    <row r="74" spans="11:19">
      <c r="K74" t="s">
        <v>103</v>
      </c>
    </row>
    <row r="75" spans="11:19">
      <c r="L75" s="38" t="s">
        <v>104</v>
      </c>
      <c r="M75" s="39"/>
      <c r="N75" s="40" t="s">
        <v>105</v>
      </c>
      <c r="O75" s="40"/>
      <c r="P75" s="43"/>
      <c r="Q75" s="40" t="s">
        <v>106</v>
      </c>
      <c r="R75" s="40"/>
    </row>
    <row r="76" spans="11:19" ht="20.25">
      <c r="L76" s="40" t="s">
        <v>110</v>
      </c>
      <c r="M76" s="41"/>
      <c r="N76" s="42" t="s">
        <v>111</v>
      </c>
      <c r="O76" s="42"/>
      <c r="P76" s="44"/>
      <c r="Q76" s="42" t="s">
        <v>112</v>
      </c>
      <c r="R76" s="42"/>
      <c r="S76" t="s">
        <v>115</v>
      </c>
    </row>
    <row r="77" spans="11:19" ht="20.25">
      <c r="L77" s="40" t="s">
        <v>119</v>
      </c>
      <c r="M77" s="41"/>
      <c r="N77" s="42" t="s">
        <v>113</v>
      </c>
      <c r="O77" s="42"/>
      <c r="P77" s="44"/>
      <c r="Q77" s="42" t="s">
        <v>114</v>
      </c>
      <c r="R77" s="42"/>
      <c r="S77" t="s">
        <v>56</v>
      </c>
    </row>
    <row r="78" spans="11:19">
      <c r="L78" s="40" t="s">
        <v>120</v>
      </c>
      <c r="M78" s="41"/>
      <c r="N78" s="42" t="s">
        <v>116</v>
      </c>
      <c r="O78" s="42"/>
      <c r="P78" s="44"/>
      <c r="Q78" s="42" t="s">
        <v>118</v>
      </c>
      <c r="R78" s="42"/>
      <c r="S78" t="s">
        <v>117</v>
      </c>
    </row>
    <row r="80" spans="11:19">
      <c r="K80" t="s">
        <v>107</v>
      </c>
    </row>
    <row r="81" spans="11:11">
      <c r="K81" t="s">
        <v>108</v>
      </c>
    </row>
    <row r="82" spans="11:11">
      <c r="K82" t="s">
        <v>109</v>
      </c>
    </row>
  </sheetData>
  <phoneticPr fontId="4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8FAD9-57CD-4763-89F3-F9B07F98EFC0}">
  <sheetPr codeName="Sheet5"/>
  <dimension ref="B1:S88"/>
  <sheetViews>
    <sheetView tabSelected="1" zoomScale="85" zoomScaleNormal="85" workbookViewId="0">
      <selection activeCell="H9" sqref="H9"/>
    </sheetView>
  </sheetViews>
  <sheetFormatPr defaultRowHeight="18.75"/>
  <cols>
    <col min="2" max="2" width="27.5" customWidth="1"/>
    <col min="3" max="3" width="6.875" bestFit="1" customWidth="1"/>
    <col min="4" max="4" width="10.25" customWidth="1"/>
    <col min="6" max="6" width="42.375" customWidth="1"/>
  </cols>
  <sheetData>
    <row r="1" spans="2:12">
      <c r="B1" t="s">
        <v>123</v>
      </c>
      <c r="K1" s="37" t="s">
        <v>90</v>
      </c>
    </row>
    <row r="2" spans="2:12">
      <c r="B2" s="9" t="s">
        <v>91</v>
      </c>
      <c r="C2" s="9" t="s">
        <v>5</v>
      </c>
      <c r="D2" s="9" t="s">
        <v>6</v>
      </c>
      <c r="E2" s="10" t="s">
        <v>4</v>
      </c>
      <c r="F2" s="9" t="s">
        <v>13</v>
      </c>
      <c r="K2" s="7" t="s">
        <v>8</v>
      </c>
      <c r="L2" t="s">
        <v>89</v>
      </c>
    </row>
    <row r="3" spans="2:12" ht="20.25">
      <c r="B3" s="1" t="s">
        <v>15</v>
      </c>
      <c r="C3" s="3" t="s">
        <v>19</v>
      </c>
      <c r="D3" s="16">
        <v>5</v>
      </c>
      <c r="E3" s="2" t="s">
        <v>3</v>
      </c>
      <c r="F3" s="2" t="s">
        <v>97</v>
      </c>
      <c r="K3" s="8" t="s">
        <v>9</v>
      </c>
      <c r="L3" t="s">
        <v>11</v>
      </c>
    </row>
    <row r="4" spans="2:12" ht="20.25">
      <c r="B4" s="1" t="s">
        <v>16</v>
      </c>
      <c r="C4" s="3" t="s">
        <v>20</v>
      </c>
      <c r="D4" s="16">
        <v>12</v>
      </c>
      <c r="E4" s="2" t="s">
        <v>2</v>
      </c>
      <c r="F4" s="2" t="s">
        <v>98</v>
      </c>
      <c r="K4" s="6" t="s">
        <v>10</v>
      </c>
      <c r="L4" t="s">
        <v>12</v>
      </c>
    </row>
    <row r="5" spans="2:12" ht="20.25">
      <c r="B5" s="1" t="s">
        <v>17</v>
      </c>
      <c r="C5" s="3" t="s">
        <v>21</v>
      </c>
      <c r="D5" s="16">
        <v>1</v>
      </c>
      <c r="E5" s="2" t="s">
        <v>3</v>
      </c>
      <c r="F5" s="2" t="s">
        <v>99</v>
      </c>
    </row>
    <row r="6" spans="2:12" ht="20.25">
      <c r="B6" s="1" t="s">
        <v>18</v>
      </c>
      <c r="C6" s="3" t="s">
        <v>22</v>
      </c>
      <c r="D6" s="16">
        <v>5</v>
      </c>
      <c r="E6" s="2" t="s">
        <v>2</v>
      </c>
      <c r="F6" s="2" t="s">
        <v>100</v>
      </c>
      <c r="K6" t="s">
        <v>93</v>
      </c>
    </row>
    <row r="7" spans="2:12" ht="20.25">
      <c r="B7" s="1" t="s">
        <v>0</v>
      </c>
      <c r="C7" s="3" t="s">
        <v>7</v>
      </c>
      <c r="D7" s="11">
        <v>0.7</v>
      </c>
      <c r="E7" s="2" t="s">
        <v>1</v>
      </c>
      <c r="F7" s="2" t="s">
        <v>96</v>
      </c>
    </row>
    <row r="8" spans="2:12" ht="20.25">
      <c r="B8" s="1" t="s">
        <v>25</v>
      </c>
      <c r="C8" s="3" t="s">
        <v>26</v>
      </c>
      <c r="D8" s="11">
        <v>2650</v>
      </c>
      <c r="E8" s="2" t="s">
        <v>29</v>
      </c>
      <c r="F8" s="2"/>
    </row>
    <row r="9" spans="2:12" ht="20.25">
      <c r="B9" s="1" t="s">
        <v>28</v>
      </c>
      <c r="C9" s="3" t="s">
        <v>27</v>
      </c>
      <c r="D9" s="11">
        <v>1025</v>
      </c>
      <c r="E9" s="2" t="s">
        <v>29</v>
      </c>
      <c r="F9" s="2"/>
    </row>
    <row r="10" spans="2:12">
      <c r="B10" s="1" t="s">
        <v>36</v>
      </c>
      <c r="C10" s="3" t="s">
        <v>37</v>
      </c>
      <c r="D10" s="11">
        <v>0.4</v>
      </c>
      <c r="E10" s="2" t="s">
        <v>3</v>
      </c>
      <c r="F10" s="2" t="s">
        <v>101</v>
      </c>
    </row>
    <row r="12" spans="2:12">
      <c r="B12" s="21" t="s">
        <v>92</v>
      </c>
      <c r="C12" s="9" t="s">
        <v>5</v>
      </c>
      <c r="D12" s="9" t="s">
        <v>63</v>
      </c>
      <c r="E12" s="9" t="s">
        <v>4</v>
      </c>
      <c r="F12" s="9" t="s">
        <v>13</v>
      </c>
    </row>
    <row r="13" spans="2:12" ht="20.25">
      <c r="B13" s="4" t="s">
        <v>31</v>
      </c>
      <c r="C13" s="19" t="s">
        <v>30</v>
      </c>
      <c r="D13" s="20" cm="1">
        <f t="array" ref="D13">Ws_Rubey(D7,D8,D9)</f>
        <v>7.7008217909613541E-2</v>
      </c>
      <c r="E13" s="5" t="s">
        <v>32</v>
      </c>
      <c r="F13" s="5" t="s">
        <v>78</v>
      </c>
    </row>
    <row r="14" spans="2:12" ht="20.25">
      <c r="B14" s="1" t="s">
        <v>33</v>
      </c>
      <c r="C14" s="3" t="s">
        <v>34</v>
      </c>
      <c r="D14" s="34" cm="1">
        <f t="array" ref="D14">Morph_Kriebel_A(D13)</f>
        <v>0.19031157716153635</v>
      </c>
      <c r="E14" s="2" t="s">
        <v>35</v>
      </c>
      <c r="F14" s="2" t="s">
        <v>56</v>
      </c>
    </row>
    <row r="15" spans="2:12" ht="20.25">
      <c r="B15" s="2" t="s">
        <v>38</v>
      </c>
      <c r="C15" s="3" t="s">
        <v>39</v>
      </c>
      <c r="D15" s="17" cm="1">
        <f t="array" ref="D15">ClosureDepth_Hallermeier(D3,D4)</f>
        <v>10.186493764172335</v>
      </c>
      <c r="E15" s="2" t="s">
        <v>3</v>
      </c>
      <c r="F15" s="2" t="s">
        <v>75</v>
      </c>
    </row>
    <row r="16" spans="2:12" ht="20.25">
      <c r="B16" s="2" t="s">
        <v>40</v>
      </c>
      <c r="C16" s="3" t="s">
        <v>41</v>
      </c>
      <c r="D16" s="18">
        <f>(ROUND(D15,2)/ROUND(D14,3))^(3/2)</f>
        <v>392.76327672525201</v>
      </c>
      <c r="E16" s="2" t="s">
        <v>3</v>
      </c>
      <c r="F16" s="2" t="s">
        <v>57</v>
      </c>
    </row>
    <row r="17" spans="2:11">
      <c r="B17" s="2" t="s">
        <v>51</v>
      </c>
      <c r="C17" s="3" t="s">
        <v>52</v>
      </c>
      <c r="D17" s="36">
        <f>D5/(9.8*D6^2/2/PI())</f>
        <v>2.5645654315018716E-2</v>
      </c>
      <c r="E17" s="2" t="s">
        <v>53</v>
      </c>
      <c r="F17" s="2" t="s">
        <v>81</v>
      </c>
    </row>
    <row r="18" spans="2:11">
      <c r="B18" s="1" t="s">
        <v>14</v>
      </c>
      <c r="C18" s="3" t="s">
        <v>44</v>
      </c>
      <c r="D18" s="15">
        <f>0.25*($D$7*0.001/$D$5)^0.25*$D$17^(-0.15)</f>
        <v>7.0446991525707034E-2</v>
      </c>
      <c r="E18" s="14">
        <f>1/D18</f>
        <v>14.195070340726854</v>
      </c>
      <c r="F18" s="2" t="s">
        <v>58</v>
      </c>
      <c r="K18" t="s">
        <v>86</v>
      </c>
    </row>
    <row r="19" spans="2:11">
      <c r="B19" s="1" t="s">
        <v>45</v>
      </c>
      <c r="C19" s="3" t="s">
        <v>46</v>
      </c>
      <c r="D19" s="12">
        <f>D18^0.2*(D5/(1.56*D6^2))^(-0.25)*D5</f>
        <v>1.4700721224620463</v>
      </c>
      <c r="E19" s="2" t="s">
        <v>3</v>
      </c>
      <c r="F19" s="2" t="s">
        <v>59</v>
      </c>
    </row>
    <row r="20" spans="2:11" ht="19.5" thickBot="1">
      <c r="B20" s="25" t="s">
        <v>47</v>
      </c>
      <c r="C20" s="26" t="s">
        <v>42</v>
      </c>
      <c r="D20" s="27">
        <f>0.125*D19^(5/8)*(9.8*D6^2)^(3/8)</f>
        <v>1.2515089100093468</v>
      </c>
      <c r="E20" s="25" t="s">
        <v>3</v>
      </c>
      <c r="F20" s="25" t="s">
        <v>60</v>
      </c>
    </row>
    <row r="21" spans="2:11" ht="19.5" thickBot="1">
      <c r="B21" s="28" t="s">
        <v>43</v>
      </c>
      <c r="C21" s="29" t="s">
        <v>48</v>
      </c>
      <c r="D21" s="35">
        <f>D10/(D15+D20)*D16</f>
        <v>13.735379783108918</v>
      </c>
      <c r="E21" s="30" t="s">
        <v>3</v>
      </c>
      <c r="F21" s="31" t="s">
        <v>61</v>
      </c>
    </row>
    <row r="25" spans="2:11">
      <c r="B25" t="s">
        <v>94</v>
      </c>
    </row>
    <row r="26" spans="2:11" ht="20.25">
      <c r="B26" s="2" t="s">
        <v>72</v>
      </c>
      <c r="C26" s="23" t="s">
        <v>54</v>
      </c>
      <c r="D26" s="45">
        <f>(D15+D20)/D16</f>
        <v>2.9121874044713347E-2</v>
      </c>
      <c r="E26" s="14">
        <f>1/D26</f>
        <v>34.338449457772292</v>
      </c>
      <c r="F26" s="2" t="s">
        <v>82</v>
      </c>
    </row>
    <row r="27" spans="2:11" ht="19.5" customHeight="1">
      <c r="B27" s="2" t="s">
        <v>74</v>
      </c>
      <c r="C27" s="23" t="s">
        <v>54</v>
      </c>
      <c r="D27" s="45">
        <f>0.5*(D13/9.8/D6)/(D17)</f>
        <v>3.0640596347532051E-2</v>
      </c>
      <c r="E27" s="14">
        <f>1/D27</f>
        <v>32.636440513682921</v>
      </c>
      <c r="F27" s="2" t="s">
        <v>83</v>
      </c>
    </row>
    <row r="28" spans="2:11">
      <c r="B28" s="2" t="s">
        <v>80</v>
      </c>
      <c r="C28" s="23" t="s">
        <v>44</v>
      </c>
      <c r="D28" s="45">
        <f>0.12/(D19/9.8^0.5/(D7*0.001)^0.5/D6)^0.5</f>
        <v>6.3690983639873258E-2</v>
      </c>
      <c r="E28" s="14">
        <f>1/D28</f>
        <v>15.700809484342107</v>
      </c>
      <c r="F28" s="2" t="s">
        <v>67</v>
      </c>
    </row>
    <row r="29" spans="2:11">
      <c r="B29" s="2" t="s">
        <v>79</v>
      </c>
      <c r="C29" s="23" t="s">
        <v>44</v>
      </c>
      <c r="D29" s="45">
        <f>0.25*($D$7*0.001/$D$5)^0.25*$D$17^(-0.15)</f>
        <v>7.0446991525707034E-2</v>
      </c>
      <c r="E29" s="14">
        <f>1/D29</f>
        <v>14.195070340726854</v>
      </c>
      <c r="F29" s="2" t="s">
        <v>50</v>
      </c>
      <c r="H29" s="22"/>
    </row>
    <row r="30" spans="2:11">
      <c r="B30" s="2" t="s">
        <v>66</v>
      </c>
      <c r="C30" s="23" t="s">
        <v>44</v>
      </c>
      <c r="D30" s="45">
        <f>(0.12*D17^(0.125)*(D5/9.8^0.5/(D7*0.001)^0.5/D6)^(-0.5))^(1/1.1)</f>
        <v>6.4278727830341165E-2</v>
      </c>
      <c r="E30" s="14">
        <f>1/D30</f>
        <v>15.557246288996637</v>
      </c>
      <c r="F30" s="2" t="s">
        <v>84</v>
      </c>
      <c r="H30" s="22"/>
    </row>
    <row r="31" spans="2:11">
      <c r="B31" s="24" t="s">
        <v>70</v>
      </c>
      <c r="C31" s="23" t="s">
        <v>44</v>
      </c>
      <c r="D31" s="45">
        <f>0.45*(D7*0.001/D5)^0.5*D17^(-0.3)</f>
        <v>3.5732006028165869E-2</v>
      </c>
      <c r="E31" s="14">
        <f>1/D31</f>
        <v>27.986114163636568</v>
      </c>
      <c r="F31" s="2" t="s">
        <v>71</v>
      </c>
      <c r="H31" s="22"/>
    </row>
    <row r="32" spans="2:11">
      <c r="B32" s="24" t="s">
        <v>69</v>
      </c>
      <c r="C32" s="23" t="s">
        <v>44</v>
      </c>
      <c r="D32" s="45">
        <f>0.15*(D5/(D13*D6))^(-0.5)</f>
        <v>9.3077518847633239E-2</v>
      </c>
      <c r="E32" s="14">
        <f>1/D32</f>
        <v>10.743732883952223</v>
      </c>
      <c r="F32" s="2" t="s">
        <v>85</v>
      </c>
    </row>
    <row r="33" spans="2:6" ht="20.25">
      <c r="B33" s="1" t="s">
        <v>76</v>
      </c>
      <c r="C33" s="3" t="s">
        <v>34</v>
      </c>
      <c r="D33" s="46">
        <f>0.067*(D13*100)^0.44</f>
        <v>0.1644943990120821</v>
      </c>
      <c r="E33" s="2" t="s">
        <v>35</v>
      </c>
      <c r="F33" s="2" t="s">
        <v>87</v>
      </c>
    </row>
    <row r="34" spans="2:6" ht="20.25">
      <c r="B34" s="2" t="s">
        <v>77</v>
      </c>
      <c r="C34" s="23" t="s">
        <v>34</v>
      </c>
      <c r="D34" s="47" cm="1">
        <f t="array" ref="D34">Morph_Kriebel_A(D13)</f>
        <v>0.19031157716153635</v>
      </c>
      <c r="E34" s="2" t="s">
        <v>35</v>
      </c>
      <c r="F34" s="2" t="s">
        <v>88</v>
      </c>
    </row>
    <row r="35" spans="2:6">
      <c r="B35" t="s">
        <v>95</v>
      </c>
    </row>
    <row r="80" spans="11:11">
      <c r="K80" t="s">
        <v>103</v>
      </c>
    </row>
    <row r="81" spans="11:19">
      <c r="L81" s="38" t="s">
        <v>104</v>
      </c>
      <c r="M81" s="39"/>
      <c r="N81" s="40" t="s">
        <v>105</v>
      </c>
      <c r="O81" s="40"/>
      <c r="P81" s="43"/>
      <c r="Q81" s="40" t="s">
        <v>106</v>
      </c>
      <c r="R81" s="40"/>
    </row>
    <row r="82" spans="11:19" ht="20.25">
      <c r="L82" s="40" t="s">
        <v>110</v>
      </c>
      <c r="M82" s="41"/>
      <c r="N82" s="42" t="s">
        <v>111</v>
      </c>
      <c r="O82" s="42"/>
      <c r="P82" s="44"/>
      <c r="Q82" s="42" t="s">
        <v>112</v>
      </c>
      <c r="R82" s="42"/>
      <c r="S82" t="s">
        <v>115</v>
      </c>
    </row>
    <row r="83" spans="11:19" ht="20.25">
      <c r="L83" s="40" t="s">
        <v>119</v>
      </c>
      <c r="M83" s="41"/>
      <c r="N83" s="42" t="s">
        <v>113</v>
      </c>
      <c r="O83" s="42"/>
      <c r="P83" s="44"/>
      <c r="Q83" s="42" t="s">
        <v>114</v>
      </c>
      <c r="R83" s="42"/>
      <c r="S83" t="s">
        <v>56</v>
      </c>
    </row>
    <row r="84" spans="11:19">
      <c r="L84" s="40" t="s">
        <v>120</v>
      </c>
      <c r="M84" s="41"/>
      <c r="N84" s="42" t="s">
        <v>116</v>
      </c>
      <c r="O84" s="42"/>
      <c r="P84" s="44"/>
      <c r="Q84" s="42" t="s">
        <v>118</v>
      </c>
      <c r="R84" s="42"/>
      <c r="S84" t="s">
        <v>117</v>
      </c>
    </row>
    <row r="86" spans="11:19">
      <c r="K86" t="s">
        <v>107</v>
      </c>
    </row>
    <row r="87" spans="11:19">
      <c r="K87" t="s">
        <v>108</v>
      </c>
    </row>
    <row r="88" spans="11:19">
      <c r="K88" t="s">
        <v>109</v>
      </c>
    </row>
  </sheetData>
  <phoneticPr fontId="4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Bruun則(1)</vt:lpstr>
      <vt:lpstr>Bruun則(2)</vt:lpstr>
      <vt:lpstr>Bruun則(3)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2024-12-24T10:31:14Z</dcterms:modified>
</cp:coreProperties>
</file>